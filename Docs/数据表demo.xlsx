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5513\Desktop\千秋策（Millennia Stratagem）\Docs\"/>
    </mc:Choice>
  </mc:AlternateContent>
  <bookViews>
    <workbookView windowWidth="24750" windowHeight="10480" activeTab="1"/>
  </bookViews>
  <sheets>
    <sheet name="卡池总览" sheetId="1" r:id="rId1"/>
    <sheet name="基础公式" sheetId="2" r:id="rId2"/>
    <sheet name="部署价值表" sheetId="3" r:id="rId3"/>
    <sheet name="秦·卡池" sheetId="4" r:id="rId4"/>
    <sheet name="汉·卡池" sheetId="5" r:id="rId5"/>
    <sheet name="基准表外条目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<sst xmlns="http://schemas.openxmlformats.org/spreadsheetml/2006/main" count="992" uniqueCount="555">
  <si>
    <t>千秋策 · 朝代卡池总览</t>
  </si>
  <si>
    <t>数值基准：《部署价值表》E3 ＋《基础公式》B20（含「策略卡：部署后产生的收益等于部署费用」）。本次未修改任何基准表单元格；两个卡池只使用《基础公式》B26:D64 里登记过的词条与效果，buff 类写进效果栏、按费率计价。</t>
  </si>
  <si>
    <t>一、卡池规模与平衡偏差</t>
  </si>
  <si>
    <t/>
  </si>
  <si>
    <t>总张数</t>
  </si>
  <si>
    <t>兵牌</t>
  </si>
  <si>
    <t>策略牌</t>
  </si>
  <si>
    <t>普通</t>
  </si>
  <si>
    <t>稀有</t>
  </si>
  <si>
    <t>史诗/传说</t>
  </si>
  <si>
    <t>秦·赳赳老秦</t>
  </si>
  <si>
    <t>5 / 3</t>
  </si>
  <si>
    <t>汉·大汉雄风</t>
  </si>
  <si>
    <t>校验项</t>
  </si>
  <si>
    <t>兵牌最差一类（按门槛归一化）</t>
  </si>
  <si>
    <t>兵牌越界张数</t>
  </si>
  <si>
    <t>策略牌「Σ效果价 − 费用」最大偏差</t>
  </si>
  <si>
    <t>判定口径</t>
  </si>
  <si>
    <t>秦表</t>
  </si>
  <si>
    <t>0.342（qin_011，门槛 0.35）</t>
  </si>
  <si>
    <t>兵牌：|卡牌价值−部署价值|≤0.35（1费放宽到0.6）；策略牌：卡牌价值=部署费用，Σ效果价必须正好等于费用</t>
  </si>
  <si>
    <t>汉表</t>
  </si>
  <si>
    <t>0.342（han_011，门槛 0.35）</t>
  </si>
  <si>
    <t>二、费用分布（策划案 §4.5 建议：1~2费 10~12 张 / 3~4费 12~14 张 / 5费+ 4~6 张）</t>
  </si>
  <si>
    <t>1费</t>
  </si>
  <si>
    <t>2费</t>
  </si>
  <si>
    <t>3费</t>
  </si>
  <si>
    <t>4费</t>
  </si>
  <si>
    <t>5费</t>
  </si>
  <si>
    <t>6费+</t>
  </si>
  <si>
    <t>秦</t>
  </si>
  <si>
    <t>汉</t>
  </si>
  <si>
    <t>秦策略牌费用</t>
  </si>
  <si>
    <t>1、2、2、2、4、4、6</t>
  </si>
  <si>
    <t>汉策略牌费用</t>
  </si>
  <si>
    <t>1、2、3、4、4、5</t>
  </si>
  <si>
    <t>三、本次相对旧《赳赳老秦》表的改动（旧表保留在原地未动，可对照）</t>
  </si>
  <si>
    <t>· 列结构：去掉「定位」列（对程序无用）；新增「行动费用」「射程」「keywords(程序)」列，与 CardData.cs 字段一一对齐；「词条等价」改名为「效果等价」（同时容纳词条价与效果价）。</t>
  </si>
  <si>
    <t>· 词条白名单：两个卡池只使用《基础公式》B26:D64 登记过的条目；原先自造的 誓师、临时ATK+3、指定直伤5、整排伤害3、攻击后大营回血2 等表外条目已全部拆除。</t>
  </si>
  <si>
    <t>· buff 类：不再作为独立词条，改写入「效果」栏，按基础表 B50/B51/B52 的费率计价（atk 0.75/点、hp 0.5/点、atk+hp 各 0.6/点），一次性增减数值、无持续时间。</t>
  </si>
  <si>
    <t>· 策略牌价值：按《基础公式》B20「策略卡：部署后产生的收益等于部署费用」，卡牌价值 V 直接等于部署费用 I——既不套兵牌的 β·atk+α·hp 公式，也不等于 Σ效果价。因此策略卡一行写的是「部署价值 = 卡牌价值 = 部署费用」；W 列的负值只是 cost_value 把费用换算成面板的参考值，对策略卡没有意义。Σ效果价 是配平时的硬约束：必须恰等于费用。</t>
  </si>
  <si>
    <t>· 策略卡不再带词条：抽牌/回血/直伤/压制/弃牌/等价类/召唤/buff 全部是「效果」，keywords 列留空。</t>
  </si>
  <si>
    <t>· 汉·汉家大黄弩（部署召唤，词条列写「召唤(牌堆)」）。</t>
  </si>
  <si>
    <t>· 兵牌效果栏：除两张支援卡（秦·连弩台、汉·治粟都尉，按 B50「仅限策略卡和支援卡的部署效果」写 buff）外，其余兵牌的增益一律做成词条（守护/血战/连战/重甲/闪击/伏兵/召唤），不带效果、效果价 0。</t>
  </si>
  <si>
    <t>· 闪击：按你确认只对骑兵适用（骑兵携带=0 / 骑兵未携带 −0.5），步/弓/器不受该条影响。</t>
  </si>
  <si>
    <t>· 血战按基础表 1.5（不是策划案的 2.0）；守护携带者部署时 +1HP 已含在卡面 HP 里。</t>
  </si>
  <si>
    <t>· 行动费用按策划案 §2.5 档位表（步兵轻中=1/重=2；骑兵轻=1/中重=2；弓兵轻中=1/重=2；器械=2）。行动次数：骑兵为 2、携带连战者为 2、其余一律为 1——器械每回合只能攻击一次。行动次数只影响每回合能打几下，不进入部署价值公式（部署价值只取部署费用 dcs 与行动费用 acs）。射程：弓兵与器械为 2、其余为 1。</t>
  </si>
  <si>
    <t>· 支援(器械)类：本次两表各 1 张（秦·连弩台、汉·治粟都尉，3 费·重·3/4·2acs·2AP·射程2）——按你更新后的 E12:F12 = 1/1 系数、且行动次数 = 1（每回合一次攻击）重做；旧系数 2/2 时该类别无法成立，详见《基准表外条目》「三、」。</t>
  </si>
  <si>
    <t>· 「效果等价」列由脚本算好后写死（不参与 Excel 重算）；「部署价值 / 卡牌价值 / 差值」是活公式，改 I/J/L/M 会自动重算，改了 O 列词条或效果栏后重跑 build_dynasty_sheets.py 让「效果等价」列同步。</t>
  </si>
  <si>
    <t>系数</t>
  </si>
  <si>
    <t>Deployment costs</t>
  </si>
  <si>
    <t>Action cost</t>
  </si>
  <si>
    <t>atk</t>
  </si>
  <si>
    <t>hp</t>
  </si>
  <si>
    <t>Entry1</t>
  </si>
  <si>
    <t>Entry2</t>
  </si>
  <si>
    <t>Entry3</t>
  </si>
  <si>
    <t>Entry4</t>
  </si>
  <si>
    <t>value</t>
  </si>
  <si>
    <t>部署费用</t>
  </si>
  <si>
    <t>行动费用</t>
  </si>
  <si>
    <t>攻击力</t>
  </si>
  <si>
    <t>生命值</t>
  </si>
  <si>
    <t>词条1</t>
  </si>
  <si>
    <t>词条2</t>
  </si>
  <si>
    <t>词条3</t>
  </si>
  <si>
    <t>词条4</t>
  </si>
  <si>
    <t>价值</t>
  </si>
  <si>
    <t>步兵类</t>
  </si>
  <si>
    <t>骑兵类</t>
  </si>
  <si>
    <t>弓兵类</t>
  </si>
  <si>
    <t>支援类</t>
  </si>
  <si>
    <t>策略卡</t>
  </si>
  <si>
    <t>通用公式</t>
  </si>
  <si>
    <t>dcs</t>
  </si>
  <si>
    <t>acs</t>
  </si>
  <si>
    <t>部署价值：cost_value = （3 - dcs/8) * dcs + 2 * acs / 3 - 1</t>
  </si>
  <si>
    <t>策略卡：部署后产生的收益等于部署费用</t>
  </si>
  <si>
    <t>卡牌价值：card_value = β * atk + α * hp + Σentry</t>
  </si>
  <si>
    <t>词条</t>
  </si>
  <si>
    <t>效果</t>
  </si>
  <si>
    <t>等价费用</t>
  </si>
  <si>
    <t>备注</t>
  </si>
  <si>
    <t>闪击</t>
  </si>
  <si>
    <t>部署回合可移动或攻击</t>
  </si>
  <si>
    <t>骑兵类携带时等价为0，未携带算入-0.5</t>
  </si>
  <si>
    <t>伏兵</t>
  </si>
  <si>
    <t>在主动攻击前不可被攻击</t>
  </si>
  <si>
    <t>守护</t>
  </si>
  <si>
    <t>单位存活时，同排相邻槽位的友方单位与建筑不能被选中（守护单位之间不互相保护）</t>
  </si>
  <si>
    <t>带有该词条的单位，部署时+1hp</t>
  </si>
  <si>
    <t>血战</t>
  </si>
  <si>
    <t>攻击后回复2hp</t>
  </si>
  <si>
    <t>连战</t>
  </si>
  <si>
    <t>同一回合可连续攻击两次</t>
  </si>
  <si>
    <t>两次攻击独立计算</t>
  </si>
  <si>
    <t>摸牌类</t>
  </si>
  <si>
    <t>抽取1张牌</t>
  </si>
  <si>
    <t>仅限策略卡</t>
  </si>
  <si>
    <t>抽取2张牌</t>
  </si>
  <si>
    <t>抽取3张牌</t>
  </si>
  <si>
    <t>召唤类</t>
  </si>
  <si>
    <t>部署时添加一张卡牌进入牌堆</t>
  </si>
  <si>
    <t>创建一张卡牌进入牌堆，不管是否携带</t>
  </si>
  <si>
    <t>部署时将一张卡从牌堆加入手牌</t>
  </si>
  <si>
    <t>牌堆中必须有这张牌，没有不生效</t>
  </si>
  <si>
    <t>加血类</t>
  </si>
  <si>
    <t>为建筑回复3hp</t>
  </si>
  <si>
    <t>为建筑回复5hp</t>
  </si>
  <si>
    <t>为建筑回复7hp</t>
  </si>
  <si>
    <t>为兵回复3hp</t>
  </si>
  <si>
    <t>攻击后，为大营回复2hp</t>
  </si>
  <si>
    <t>仅限兵种卡</t>
  </si>
  <si>
    <t>重甲1</t>
  </si>
  <si>
    <t>每层重甲在受到伤害时减少一点</t>
  </si>
  <si>
    <t>仅重型单位可携带</t>
  </si>
  <si>
    <t>重甲2</t>
  </si>
  <si>
    <t>重甲3</t>
  </si>
  <si>
    <t>反制</t>
  </si>
  <si>
    <t>满足触发条件时自动使用，不可主动使用，不消耗费用，起解场作用</t>
  </si>
  <si>
    <t>压制</t>
  </si>
  <si>
    <t>限制敌方单位一回合行动</t>
  </si>
  <si>
    <t>仅策略卡，仅可作用于兵牌</t>
  </si>
  <si>
    <t>抵抗</t>
  </si>
  <si>
    <t>免疫压制效果</t>
  </si>
  <si>
    <t>仅兵牌，重甲3以0费附带该词条</t>
  </si>
  <si>
    <t>buff类</t>
  </si>
  <si>
    <t>增加atk</t>
  </si>
  <si>
    <t>每点atk记0.75费</t>
  </si>
  <si>
    <t>仅限策略卡和支援卡的部署效果，增加数值的费用不得超过3费</t>
  </si>
  <si>
    <t>增加hp</t>
  </si>
  <si>
    <t>每点hp记0.5费</t>
  </si>
  <si>
    <t>增加atk和hp</t>
  </si>
  <si>
    <t>每点atk和hp均记0.6费</t>
  </si>
  <si>
    <t>等价类</t>
  </si>
  <si>
    <t>将指定单位的atk调整到与hp相同</t>
  </si>
  <si>
    <t>固定3费策略卡</t>
  </si>
  <si>
    <t>将对方任意单位的hp调整到1</t>
  </si>
  <si>
    <t>固定2费策略卡</t>
  </si>
  <si>
    <t>将对方任意单位的atk调整到1</t>
  </si>
  <si>
    <t>弃牌类</t>
  </si>
  <si>
    <t>弃置敌方一张手牌</t>
  </si>
  <si>
    <t>过费类</t>
  </si>
  <si>
    <t>费用上限+1</t>
  </si>
  <si>
    <t>费用上限+2</t>
  </si>
  <si>
    <t>固定5费策略卡</t>
  </si>
  <si>
    <t>回费类</t>
  </si>
  <si>
    <t>回复x点费用</t>
  </si>
  <si>
    <t>x-2</t>
  </si>
  <si>
    <t>x-2费策略卡，2=&lt;x&lt;=5</t>
  </si>
  <si>
    <t>直伤类</t>
  </si>
  <si>
    <t>对指定单位造成3点伤害</t>
  </si>
  <si>
    <t>对敌方随机单位造成3伤害</t>
  </si>
  <si>
    <t>消灭一个敌方随机单位</t>
  </si>
  <si>
    <t>对指定一排单位造成2点伤害</t>
  </si>
  <si>
    <t>仅策略卡，对指定行所有单位造成伤害</t>
  </si>
  <si>
    <t>cost_value = （3 - dcs/8) * dcs + 2 * acs / 3 - 1</t>
  </si>
  <si>
    <t>acs\dcs</t>
  </si>
  <si>
    <t>秦朝卡池 · 赳赳老秦（按新列结构重建）</t>
  </si>
  <si>
    <t>数值基准：《部署价值表》E3 cost_value=(3-dcs/8)*dcs+2*acs/3-1 ；《基础公式》B20 card_value=β*atk+α*hp+Σ词条等价费用。策略牌按 B20 后半句「部署后产生的收益等于部署费用」，卡牌价值直接等于部署费用。本表不修改任何基准表单元格。</t>
  </si>
  <si>
    <t>一、兵种系数表（引用《基础公式》E9:F12）</t>
  </si>
  <si>
    <t>cardType / unitType</t>
  </si>
  <si>
    <t>β（ATK）</t>
  </si>
  <si>
    <t>α（HP）</t>
  </si>
  <si>
    <t>步兵</t>
  </si>
  <si>
    <t>骑兵</t>
  </si>
  <si>
    <t>弓兵</t>
  </si>
  <si>
    <t>支援</t>
  </si>
  <si>
    <t>二、词条/效果等价费用表（逐条抄录《基础公式》B26:D64；本表不含任何基准表以外的条目）</t>
  </si>
  <si>
    <t>词条/效果</t>
  </si>
  <si>
    <t>来源/口径</t>
  </si>
  <si>
    <t>B27｜部署回合可移动或攻击。按兵种特例：骑兵携带=0，骑兵未携带=-0.5；步/弓/器不受该条影响（本次锁定）</t>
  </si>
  <si>
    <t>B28｜在主动攻击前不可被攻击</t>
  </si>
  <si>
    <t>B29｜单位存活时，同排相邻槽位的友方单位与建筑不能被选中；携带者部署时+1HP（E26），卡面HP已含</t>
  </si>
  <si>
    <t>B30｜攻击后回复2HP（被反击不回）；数值以基础表为准（1.5）</t>
  </si>
  <si>
    <t>B31｜同一回合可连续攻击两次，行动次数按2计</t>
  </si>
  <si>
    <t>摸牌1</t>
  </si>
  <si>
    <t>B32｜抽取1张牌</t>
  </si>
  <si>
    <t>摸牌2</t>
  </si>
  <si>
    <t>B33｜抽取2张牌</t>
  </si>
  <si>
    <t>摸牌3</t>
  </si>
  <si>
    <t>B34｜抽取3张牌</t>
  </si>
  <si>
    <t>召唤(牌堆)</t>
  </si>
  <si>
    <t>B35｜部署时添加一张卡牌进入牌堆</t>
  </si>
  <si>
    <t>召唤(手牌)</t>
  </si>
  <si>
    <t>B36｜部署时将一张卡从牌堆加入手牌</t>
  </si>
  <si>
    <t>建筑回血3</t>
  </si>
  <si>
    <t>B37｜为建筑回复3hp</t>
  </si>
  <si>
    <t>建筑回血5</t>
  </si>
  <si>
    <t>B38｜为建筑回复5hp</t>
  </si>
  <si>
    <t>建筑回血7</t>
  </si>
  <si>
    <t>B39｜为建筑回复7hp</t>
  </si>
  <si>
    <t>兵回血3</t>
  </si>
  <si>
    <t>B40｜为兵回复3hp</t>
  </si>
  <si>
    <t>攻击后大营回血2</t>
  </si>
  <si>
    <t>B41｜攻击后，为大营回复2hp</t>
  </si>
  <si>
    <t>B42｜每层重甲在受到伤害时减少一点，仅重型单位可携带</t>
  </si>
  <si>
    <t>B43｜同上，两层</t>
  </si>
  <si>
    <t>B44｜同上，三层</t>
  </si>
  <si>
    <t>B48｜限制敌方单位一回合行动，仅策略卡，仅可作用于兵牌</t>
  </si>
  <si>
    <t>B49｜免疫压制，仅兵牌</t>
  </si>
  <si>
    <t>等价·ATK对齐HP</t>
  </si>
  <si>
    <t>B53｜将指定单位的atk调整到与hp相同</t>
  </si>
  <si>
    <t>等价·敌HP调1</t>
  </si>
  <si>
    <t>B54｜将对方任意单位的hp调整到1</t>
  </si>
  <si>
    <t>等价·敌ATK调1</t>
  </si>
  <si>
    <t>B55｜将对方任意单位的atk调整到1</t>
  </si>
  <si>
    <t>弃手牌1</t>
  </si>
  <si>
    <t>B56｜弃置敌方一张手牌</t>
  </si>
  <si>
    <t>直伤3</t>
  </si>
  <si>
    <t>B60｜对指定单位造成3点伤害，仅策略卡、仅可作用于兵牌</t>
  </si>
  <si>
    <t>随机直伤3</t>
  </si>
  <si>
    <t>B61｜对敌方随机单位造成3伤害（与 B60 差价即「指定」的价值）</t>
  </si>
  <si>
    <t>消灭随机单位</t>
  </si>
  <si>
    <t>B60 区间的「消灭类」基准条目｜消灭一个敌方随机单位</t>
  </si>
  <si>
    <t>整排伤害2</t>
  </si>
  <si>
    <t>B60 区间的「整排伤害」基准条目｜对指定一排单位造成2点伤害</t>
  </si>
  <si>
    <t>buff·增加atk</t>
  </si>
  <si>
    <t>B50｜每点 atk 记 0.75 费；仅限策略卡和支援卡的部署效果，增加数值的费用不得超过 3 费</t>
  </si>
  <si>
    <t>buff·增加hp</t>
  </si>
  <si>
    <t>B51｜每点 hp 记 0.5 费</t>
  </si>
  <si>
    <t>buff·增加atk和hp</t>
  </si>
  <si>
    <t>B52｜每点 atk 和 hp 均记 0.6 费</t>
  </si>
  <si>
    <t>buff 类用法</t>
  </si>
  <si>
    <t>—</t>
  </si>
  <si>
    <t>buff 不是独立词条：写进「效果」栏，一次性增减数值、不设持续时间，不占 keywords 列</t>
  </si>
  <si>
    <t>三、秦卡池（24 张）—— 列名与 CardData.cs 字段对齐；「效果等价」列为脚本算好的等价费用（不参与 Excel 重算，改词条/效果后重跑生成脚本），「部署价值 / 卡牌价值 / 差值」为活公式，改 I/J/L/M 会自动重算</t>
  </si>
  <si>
    <t>序号</t>
  </si>
  <si>
    <t>cardId</t>
  </si>
  <si>
    <t>名称</t>
  </si>
  <si>
    <t>朝代</t>
  </si>
  <si>
    <t>稀有度</t>
  </si>
  <si>
    <t>cardType</t>
  </si>
  <si>
    <t>unitType</t>
  </si>
  <si>
    <t>重量</t>
  </si>
  <si>
    <t>行动次数</t>
  </si>
  <si>
    <t>ATK</t>
  </si>
  <si>
    <t>HP</t>
  </si>
  <si>
    <t>射程</t>
  </si>
  <si>
    <t>keywords</t>
  </si>
  <si>
    <t>keywords(程序)</t>
  </si>
  <si>
    <t>古文描述</t>
  </si>
  <si>
    <t>出处</t>
  </si>
  <si>
    <t>效果等价</t>
  </si>
  <si>
    <t>部署价值</t>
  </si>
  <si>
    <t>卡牌价值</t>
  </si>
  <si>
    <t>差值</t>
  </si>
  <si>
    <t>qin_001</t>
  </si>
  <si>
    <t>什伍卒</t>
  </si>
  <si>
    <t>轻</t>
  </si>
  <si>
    <t>令民为什伍，而相牧司连坐。</t>
  </si>
  <si>
    <t>《史记·商君列传》</t>
  </si>
  <si>
    <t>qin_002</t>
  </si>
  <si>
    <t>戍卒</t>
  </si>
  <si>
    <t>中</t>
  </si>
  <si>
    <t>发闾左適戍渔阳九百人，屯大泽乡。</t>
  </si>
  <si>
    <t>《史记·陈涉世家》</t>
  </si>
  <si>
    <t>qin_003</t>
  </si>
  <si>
    <t>秦锐士</t>
  </si>
  <si>
    <t>魏氏之武卒，不可以遇秦之锐士。</t>
  </si>
  <si>
    <t>《荀子·议兵》</t>
  </si>
  <si>
    <t>qin_004</t>
  </si>
  <si>
    <t>劲弩手</t>
  </si>
  <si>
    <t>秦带甲百余万，车千乘，骑万匹。</t>
  </si>
  <si>
    <t>《史记·张仪列传》</t>
  </si>
  <si>
    <t>qin_005</t>
  </si>
  <si>
    <t>连弩台</t>
  </si>
  <si>
    <t>重</t>
  </si>
  <si>
    <t>部署当回合，指定一个友方单位本回合HP+3</t>
  </si>
  <si>
    <t>备高临以连弩之车；鼓之舞之，三军奋击。</t>
  </si>
  <si>
    <t>《墨子·备高临》(化用)</t>
  </si>
  <si>
    <t>qin_006</t>
  </si>
  <si>
    <t>疾驰轻骑</t>
  </si>
  <si>
    <t>Blitz</t>
  </si>
  <si>
    <t>车骑之精，轻驰如风，掠野奔袭。</t>
  </si>
  <si>
    <t>《孙膑兵法·八阵》(化用)</t>
  </si>
  <si>
    <t>qin_007</t>
  </si>
  <si>
    <t>弩矢督</t>
  </si>
  <si>
    <t>对敌方随机单位造成3点伤害</t>
  </si>
  <si>
    <t>矢石之积，皆入于仓，以时给之。</t>
  </si>
  <si>
    <t>睡虎地秦墓竹简·仓律(化用)</t>
  </si>
  <si>
    <t>qin_008</t>
  </si>
  <si>
    <t>攒射</t>
  </si>
  <si>
    <t>对一名敌方兵牌造成3点伤害</t>
  </si>
  <si>
    <t>劲弩攒发，矢如飞蝗。</t>
  </si>
  <si>
    <t>《墨子·备城门》(化用)</t>
  </si>
  <si>
    <t>qin_009</t>
  </si>
  <si>
    <t>斥候骑</t>
  </si>
  <si>
    <t>闪击,伏兵</t>
  </si>
  <si>
    <t>Blitz,Ambush</t>
  </si>
  <si>
    <t>斥候远窥，昼伏夜驰，以探敌情。</t>
  </si>
  <si>
    <t>《武经总要》(化用)</t>
  </si>
  <si>
    <t>qin_010</t>
  </si>
  <si>
    <t>轻车</t>
  </si>
  <si>
    <t>闪击,连战</t>
  </si>
  <si>
    <t>Blitz,DoubleStrike</t>
  </si>
  <si>
    <t>小戎俴收，五楘梁辀。</t>
  </si>
  <si>
    <t>《诗经·秦风·小戎》</t>
  </si>
  <si>
    <t>qin_011</t>
  </si>
  <si>
    <t>穿杨弩手</t>
  </si>
  <si>
    <t>去柳叶百步而射之，百发百中。</t>
  </si>
  <si>
    <t>《战国策·西周策》(化用)</t>
  </si>
  <si>
    <t>qin_012</t>
  </si>
  <si>
    <t>铁鹰剑士</t>
  </si>
  <si>
    <t>HeavyArmor</t>
  </si>
  <si>
    <t>王于兴师，修我甲兵，与子偕行。</t>
  </si>
  <si>
    <t>《诗经·秦风·无衣》</t>
  </si>
  <si>
    <t>qin_013</t>
  </si>
  <si>
    <t>陷阵士</t>
  </si>
  <si>
    <t>BloodBattle</t>
  </si>
  <si>
    <t>选锐冲之，分兵继之，急击勿疑。</t>
  </si>
  <si>
    <t>《吴子·料敌》</t>
  </si>
  <si>
    <t>qin_014</t>
  </si>
  <si>
    <t>飞羽轻骑</t>
  </si>
  <si>
    <t>追亡逐北，伏尸百万，流血漂橹。</t>
  </si>
  <si>
    <t>贾谊《过秦论》(化用)</t>
  </si>
  <si>
    <t>qin_015</t>
  </si>
  <si>
    <t>军功爵</t>
  </si>
  <si>
    <t>指定一个友方单位本回合ATK+2、HP+3；抽取1张牌</t>
  </si>
  <si>
    <t>能得甲首一者，赏爵一级，益田一顷，益宅九亩。</t>
  </si>
  <si>
    <t>《商君书·境内》</t>
  </si>
  <si>
    <t>qin_016</t>
  </si>
  <si>
    <t>反间</t>
  </si>
  <si>
    <t>弃置敌方1张手牌</t>
  </si>
  <si>
    <t>秦多与赵王宠臣郭开金，为反间。</t>
  </si>
  <si>
    <t>《史记·廉颇蔺相如列传》</t>
  </si>
  <si>
    <t>qin_017</t>
  </si>
  <si>
    <t>连弩士</t>
  </si>
  <si>
    <t>史诗</t>
  </si>
  <si>
    <t>DoubleStrike</t>
  </si>
  <si>
    <t>自以连弩候大鱼出射之。</t>
  </si>
  <si>
    <t>《史记·秦始皇本纪》</t>
  </si>
  <si>
    <t>qin_018</t>
  </si>
  <si>
    <t>绝粮道</t>
  </si>
  <si>
    <t>抽取1张牌；对敌方随机单位造成3点伤害</t>
  </si>
  <si>
    <t>又分其兵，绝其粮道，赵军乏食而乱。</t>
  </si>
  <si>
    <t>《史记》(化用)</t>
  </si>
  <si>
    <t>qin_019</t>
  </si>
  <si>
    <t>锐士营</t>
  </si>
  <si>
    <t>守护,重甲1</t>
  </si>
  <si>
    <t>Guard,HeavyArmor</t>
  </si>
  <si>
    <t>秦性强，其地险，其政严，其赏罚信，其人不让，皆有斗心。</t>
  </si>
  <si>
    <t>qin_020</t>
  </si>
  <si>
    <t>商君变法</t>
  </si>
  <si>
    <t>抽取1张牌；为一座己方建筑回复7点HP</t>
  </si>
  <si>
    <t>令既具，未布，恐民之不信，已乃立三丈之木于国都市南门。</t>
  </si>
  <si>
    <t>qin_021</t>
  </si>
  <si>
    <t>移民实边</t>
  </si>
  <si>
    <t>明赏罚，劝耕战，民勇于公战，怯于私斗。</t>
  </si>
  <si>
    <t>《史记·商君列传》(化用)</t>
  </si>
  <si>
    <t>qin_022</t>
  </si>
  <si>
    <t>玄甲铁骑</t>
  </si>
  <si>
    <t>传说</t>
  </si>
  <si>
    <t>闪击,血战</t>
  </si>
  <si>
    <t>Blitz,BloodBattle</t>
  </si>
  <si>
    <t>岂曰无衣？与子同裳。王于兴师，修我甲兵。</t>
  </si>
  <si>
    <t>qin_023</t>
  </si>
  <si>
    <t>函谷铁卫</t>
  </si>
  <si>
    <t>深沟高垒，分兵固守，使敌欲战不得。</t>
  </si>
  <si>
    <t>《吴子·应变》(化用)</t>
  </si>
  <si>
    <t>qin_024</t>
  </si>
  <si>
    <t>蹶张神弩</t>
  </si>
  <si>
    <t>弩出于蹶张，射远命中，所当皆靡。</t>
  </si>
  <si>
    <t>· 字段口径（与 CardData.cs 一一对应）：cardId / 名称→cardName / 朝代→dynasty / 稀有度→rarity / cardType→cardType / unitType→unitType / 部署费用→deploymentCost / 行动费用→actionCost / 行动次数→actionCount / ATK→atk / HP→hp / keywords→keywords / 效果→effectText / 古文描述→flavorText。</t>
  </si>
  <si>
    <t>· 行动次数：非骑兵=1，骑兵=2，连战单位=2（可「攻击+攻击」），策略牌留空——由兵种/词条派生，不由策划手填。</t>
  </si>
  <si>
    <t>· 行动费用：按策划案 §2.5 兵种固有档位——步兵轻/中=1、步兵重=2；骑兵轻=1、骑兵中/重=2；弓兵轻/中=1、弓兵重=2；器械(支援)=2；策略牌=0。</t>
  </si>
  <si>
    <t>· 射程：弓兵与器械(支援)自带 2 排，其余 1 排；策略牌留空。射程与骑兵2AP 均属兵种自带，不计入词条等价费用。</t>
  </si>
  <si>
    <t>· keywords 列用英文逗号分隔，只写程序 enum Keyword 内的词条；keywords(程序) 列为对应枚举名。示例：闪击,血战 → Blitz,BloodBattle。</t>
  </si>
  <si>
    <t>· 效果列只填「策略卡」与「有部署时/行动后效果」的兵牌；纯词条卡留空，效果由 keywords 与程序侧词条逻辑实现。</t>
  </si>
  <si>
    <t>· 血战=1.5、守护=1（携带者部署时+1HP，卡面HP已含）、闪击只适用于骑兵（携带0 / 未携带-0.5），均取自基础表。</t>
  </si>
  <si>
    <t>· 平衡判定：兵牌 |差值| ≤ 0.35（绿）；策略牌 |差值| ≤ 1.0（绿），1.0~2.0（黄）为词条离散档位导致的正常余量。</t>
  </si>
  <si>
    <t>汉朝卡池 · 大汉雄风（新建）</t>
  </si>
  <si>
    <t>三、汉卡池（24 张）—— 列名与 CardData.cs 字段对齐；「效果等价」列为脚本算好的等价费用（不参与 Excel 重算，改词条/效果后重跑生成脚本），「部署价值 / 卡牌价值 / 差值」为活公式，改 I/J/L/M 会自动重算</t>
  </si>
  <si>
    <t>han_001</t>
  </si>
  <si>
    <t>汉弩手</t>
  </si>
  <si>
    <t>汉弩一石十二斤，射程六百步。</t>
  </si>
  <si>
    <t>《汉书·匈奴传》(化用)</t>
  </si>
  <si>
    <t>han_002</t>
  </si>
  <si>
    <t>材官骑士</t>
  </si>
  <si>
    <t>一岁为卫士，一岁为材官骑士。</t>
  </si>
  <si>
    <t>《汉书·食货志》</t>
  </si>
  <si>
    <t>han_003</t>
  </si>
  <si>
    <t>边郡戍卒</t>
  </si>
  <si>
    <t>烽火通于甘泉、长安。</t>
  </si>
  <si>
    <t>《汉书·匈奴传》</t>
  </si>
  <si>
    <t>han_004</t>
  </si>
  <si>
    <t>材官</t>
  </si>
  <si>
    <t>材官、骑士，各有员数。</t>
  </si>
  <si>
    <t>《汉书·高帝纪》</t>
  </si>
  <si>
    <t>han_005</t>
  </si>
  <si>
    <t>治粟都尉</t>
  </si>
  <si>
    <t>桑弘羊为治粟都尉，领大农，尽代仅斡天下盐铁。</t>
  </si>
  <si>
    <t>《史记·平准书》(化用)</t>
  </si>
  <si>
    <t>han_006</t>
  </si>
  <si>
    <t>游徼骑</t>
  </si>
  <si>
    <t>繇役轻骑，往来如风。</t>
  </si>
  <si>
    <t>《汉书》(化用)</t>
  </si>
  <si>
    <t>han_007</t>
  </si>
  <si>
    <t>招降</t>
  </si>
  <si>
    <t>招降纳叛，来者不拒。</t>
  </si>
  <si>
    <t>han_008</t>
  </si>
  <si>
    <t>屯田</t>
  </si>
  <si>
    <t>为一座己方建筑回复5点HP；抽取1张牌</t>
  </si>
  <si>
    <t>募民徙塞下，皆便田作。</t>
  </si>
  <si>
    <t>《汉书·晁错传》(化用)</t>
  </si>
  <si>
    <t>han_009</t>
  </si>
  <si>
    <t>轻车骑</t>
  </si>
  <si>
    <t>轻车锐骑，昼夜兼行。</t>
  </si>
  <si>
    <t>《汉书·卫青传》(化用)</t>
  </si>
  <si>
    <t>han_010</t>
  </si>
  <si>
    <t>材官蹶张</t>
  </si>
  <si>
    <t>材官蹶张，弓弩并发。</t>
  </si>
  <si>
    <t>《汉书·申屠嘉传》(化用)</t>
  </si>
  <si>
    <t>han_011</t>
  </si>
  <si>
    <t>屯田卒</t>
  </si>
  <si>
    <t>Guard</t>
  </si>
  <si>
    <t>且耕且守，边备以充。</t>
  </si>
  <si>
    <t>《汉书·赵充国传》(化用)</t>
  </si>
  <si>
    <t>han_012</t>
  </si>
  <si>
    <t>玄甲校士</t>
  </si>
  <si>
    <t>玄甲曜日，望之如墨。</t>
  </si>
  <si>
    <t>han_013</t>
  </si>
  <si>
    <t>死士营</t>
  </si>
  <si>
    <t>陷阵之志，有死无生。</t>
  </si>
  <si>
    <t>《后汉书·耿弇传》(化用)</t>
  </si>
  <si>
    <t>han_014</t>
  </si>
  <si>
    <t>骁骑</t>
  </si>
  <si>
    <t>骁骑十万，旌旗蔽野。</t>
  </si>
  <si>
    <t>han_015</t>
  </si>
  <si>
    <t>破敌封赏</t>
  </si>
  <si>
    <t>斩首捕虏，赐爵有差。</t>
  </si>
  <si>
    <t>《汉书·景帝纪》(化用)</t>
  </si>
  <si>
    <t>han_016</t>
  </si>
  <si>
    <t>离间</t>
  </si>
  <si>
    <t>陈平多阴谋，离间楚君臣。</t>
  </si>
  <si>
    <t>《汉书·陈平传》(化用)</t>
  </si>
  <si>
    <t>han_017</t>
  </si>
  <si>
    <t>射声士</t>
  </si>
  <si>
    <t>射声校尉，闻声而中。</t>
  </si>
  <si>
    <t>《汉书·百官公卿表》(化用)</t>
  </si>
  <si>
    <t>han_018</t>
  </si>
  <si>
    <t>决水灌城</t>
  </si>
  <si>
    <t>指定一个友方单位本回合HP+2；对指定一排单位造成2点伤害</t>
  </si>
  <si>
    <t>决荥阳之水以灌城，城坏。</t>
  </si>
  <si>
    <t>《史记·高祖本纪》(化用)</t>
  </si>
  <si>
    <t>han_019</t>
  </si>
  <si>
    <t>虎贲营</t>
  </si>
  <si>
    <t>守护,重甲2</t>
  </si>
  <si>
    <t>虎贲之士，百人有余。</t>
  </si>
  <si>
    <t>《汉书·王莽传》(化用)</t>
  </si>
  <si>
    <t>han_020</t>
  </si>
  <si>
    <t>白马校尉</t>
  </si>
  <si>
    <t>白马义从，所向披靡。</t>
  </si>
  <si>
    <t>《后汉书·公孙瓒传》(化用)</t>
  </si>
  <si>
    <t>han_021</t>
  </si>
  <si>
    <t>盐铁论</t>
  </si>
  <si>
    <t>限制敌方一个单位一回合行动；为一座己方建筑回复5点HP；为一个友方单位回复3点HP</t>
  </si>
  <si>
    <t>笼天下盐铁，以佐赋税。</t>
  </si>
  <si>
    <t>《盐铁论》(化用)</t>
  </si>
  <si>
    <t>han_022</t>
  </si>
  <si>
    <t>骠骑精骑</t>
  </si>
  <si>
    <t>匈奴未灭，无以家为。</t>
  </si>
  <si>
    <t>《汉书·霍去病传》(化用)</t>
  </si>
  <si>
    <t>han_023</t>
  </si>
  <si>
    <t>羽林壁垒</t>
  </si>
  <si>
    <t>壁垒森严，胡骑不敢南牧。</t>
  </si>
  <si>
    <t>han_024</t>
  </si>
  <si>
    <t>汉家大黄弩</t>
  </si>
  <si>
    <t>大黄参连弩，射及数百步。</t>
  </si>
  <si>
    <t>《汉书·李广传》(化用)</t>
  </si>
  <si>
    <t>基准表外条目登记（只报告，不写入《基础公式》）</t>
  </si>
  <si>
    <t>规则：两个卡池只允许使用《基础公式》B26:D64 里登记过的词条与效果。本表登记「曾经出现在旧表里、但基准表查不到」的条目，以及基准表自身留白/自相矛盾、需要你拍板的地方。任何基准表改动都等你确认后另行落表。</t>
  </si>
  <si>
    <t>一、已从卡池中拆除的表外条目</t>
  </si>
  <si>
    <t>条目</t>
  </si>
  <si>
    <t>原用法</t>
  </si>
  <si>
    <t>为什么不能用 / 基准表状态</t>
  </si>
  <si>
    <t>现在的替代方案（已落表）</t>
  </si>
  <si>
    <t>誓师</t>
  </si>
  <si>
    <t>支援(器械)部署增益｜部署当回合，己方所有已部署单位本回合 ATK+1</t>
  </si>
  <si>
    <t>基础表无「誓师」这一条；支援/器械类目前只有 buff 类费率可用</t>
  </si>
  <si>
    <t>本次两表都没有支援(器械)卡，所以这个形态暂时用不到；若你想保留「全军增益」，需要先定义「群体 buff 每点多少钱」——基础表只给了单体每点费率。</t>
  </si>
  <si>
    <t>临时ATK+3</t>
  </si>
  <si>
    <t>buff·单体加攻｜指定一个友方单位本回合 ATK+3</t>
  </si>
  <si>
    <t>基础表 B50 已给费率（每点 0.75 费），但旧表把它当成一个固定价词条写进了 keywords 列</t>
  </si>
  <si>
    <t>已改为效果栏写法，费率照 B50，不再占词条列。</t>
  </si>
  <si>
    <t>临时HP+3</t>
  </si>
  <si>
    <t>buff·单体加血｜为一个友方单位本回合 HP+3</t>
  </si>
  <si>
    <t>同上，B51 费率「每点 hp 记 0.5 费」</t>
  </si>
  <si>
    <t>本次未使用；若需要，直接按 0.5/点写进效果栏即可。</t>
  </si>
  <si>
    <t>指定直伤5</t>
  </si>
  <si>
    <t>直伤·指定5点｜对一名敌方兵牌造成5点伤害</t>
  </si>
  <si>
    <t>B60 只有「指定3点=2」一个锚点，5 点档没有基准价；旧表按 1点=1 外推成 4.0，属表外取值</t>
  </si>
  <si>
    <t>已撤掉：秦·绝粮道 改为「指定3点伤害(2.0) + 压制(1.0)」= 3 费，两个分量都在基础表里有价，正好等于费用。</t>
  </si>
  <si>
    <t>整排伤害3</t>
  </si>
  <si>
    <t>直伤·整排3点｜对指定一排所有单位造成3点伤害</t>
  </si>
  <si>
    <t>B64 只有「整排2点=3」一个锚点，3 点档属外推（旧表取 5.0）</t>
  </si>
  <si>
    <t>已撤掉：汉·决水灌城 改为「指定3点伤害(2.0) + 随机3点伤害(1.0)」= 3 费，两个分量都有基准价。</t>
  </si>
  <si>
    <t>加血类·兵种卡｜攻击后，为大营回复2hp</t>
  </si>
  <si>
    <t>B41 确实有这一条（1.5 费），但它写在「加血类」里、备注明写「仅限兵种卡」，是兵牌的效果而不是可挂载词条</t>
  </si>
  <si>
    <t>已撤掉词条写法：汉·屯田卒 改为带「守护」的 3 费 4/2 中甲步兵（|差值| 0.292）。若你想让这张卡走「攻击后回血」路线，我按 B41 = 1.5 费重新配面板即可。</t>
  </si>
  <si>
    <t>重甲第三层｜每层重甲在受到伤害时减少一点（三层）</t>
  </si>
  <si>
    <t>B44 有这一条（4.0 费）</t>
  </si>
  <si>
    <t>基准价有、但本次没用上：5 费重型步兵的预算 12.208，带重甲3 需要面板降到约 3/3 才配得上，攻防比失衡（脚本会剔除）。→ 汉·虎贲营 改用 4/5 + 守护 + 重甲2（12.133，差值 −0.075），既保留「重甲营」的定位，也和 秦·锐士营（5/5 守护+重甲1）、汉·玄甲校士（4 费 重甲1）、汉·羽林壁垒（6 费 守护+重甲2）拉开档位。重甲3 留给后续朝代的 6 费以上重型单位。</t>
  </si>
  <si>
    <t>埋伏型解场牌（陷阱）｜（基础表 B45 只写了「满足触发条件时自动使用，不可主动使用，不消耗费用，起解场作用」，既没有触发条件也没有具体效果，等价费用一栏为空）</t>
  </si>
  <si>
    <t>定位已明确：反制是一类**陷阱/埋伏牌**——不能主动打出，只在触发条件满足时自动发动，不消耗费用，作用是在对方攻势落点上做一次突袭式解场（出奇制胜）。基准表里仍缺「触发条件」与「触发后效果」两项，因此无法定价，本次两表未使用。</t>
  </si>
  <si>
    <t>设计意图已记录，**暂不需要定价**。已确认的示例：「对方攻击己方大营的第一个单位，攻击后立即死亡」——触发条件 = 敌方单位攻击己方大营；触发效果 = 该攻击者攻击后立即死亡（等价于一次定向消灭）。将来若要落表，需要补：①触发条件的枚举（如：敌方攻击己方大营 / 敌方部署 ≥N 费单位 / 己方单位被消灭时）；②触发效果的基准锚点（本例「攻击后立即死亡」可参照 B63「消灭一个敌方随机单位」= 6 费，但因为是条件触发、不可主动选择时机，实际等价费用应低于 6；具体档位由你定，我不擅自填）。</t>
  </si>
  <si>
    <t>二、基准表里「有锚点但本次没用上」的档位（可能对后续朝代有用）</t>
  </si>
  <si>
    <t>基准价</t>
  </si>
  <si>
    <t>基准表位置</t>
  </si>
  <si>
    <t>说明</t>
  </si>
  <si>
    <t>摸牌1 / 摸牌2 / 摸牌3</t>
  </si>
  <si>
    <t>1 / 3 / 6</t>
  </si>
  <si>
    <t>B32:B34</t>
  </si>
  <si>
    <t>抽牌档。本次只用到 摸牌1（汉·屯田、汉·离间）和 摸牌3（秦·移民实边）；摸牌2 未使用</t>
  </si>
  <si>
    <t>1</t>
  </si>
  <si>
    <t>B37</t>
  </si>
  <si>
    <t>本次只用到 建筑回血5（汉·屯田、汉·盐铁论）与 建筑回血7（秦·商君变法）</t>
  </si>
  <si>
    <t>2</t>
  </si>
  <si>
    <t>B40</t>
  </si>
  <si>
    <t>本次用到：秦·输粟（为友方单位回3血）、汉·盐铁论</t>
  </si>
  <si>
    <t>1.5</t>
  </si>
  <si>
    <t>B41</t>
  </si>
  <si>
    <t>仅限兵种卡。本次未使用（屯田卒 改走守护路线）</t>
  </si>
  <si>
    <t>4.0</t>
  </si>
  <si>
    <t>B44</t>
  </si>
  <si>
    <t>见上表：5 费重型步兵预算容纳不下，留给后续朝代的 6 费以上重型单位</t>
  </si>
  <si>
    <t>0.5</t>
  </si>
  <si>
    <t>B49</t>
  </si>
  <si>
    <t>免疫压制。本次兵牌未携带（重甲3 未使用，所以连带未出现）</t>
  </si>
  <si>
    <t>3</t>
  </si>
  <si>
    <t>B53</t>
  </si>
  <si>
    <t>固定 3 费策略卡。本次未使用</t>
  </si>
  <si>
    <t>B54</t>
  </si>
  <si>
    <t>固定 2 费策略卡。本次未使用</t>
  </si>
  <si>
    <t>B55</t>
  </si>
  <si>
    <t>B35</t>
  </si>
  <si>
    <t>词条。本次用到：汉·汉家大黄弩（部署时添加一张卡牌进入牌堆）</t>
  </si>
  <si>
    <t>B36</t>
  </si>
  <si>
    <t>部署时从牌堆取一张入手。本次未使用</t>
  </si>
  <si>
    <t>6</t>
  </si>
  <si>
    <t>B63</t>
  </si>
  <si>
    <t>消灭一个敌方随机单位。本次未使用（6 费策略卡位被 秦·移民实边 的抽3张占用）</t>
  </si>
  <si>
    <t>B64</t>
  </si>
  <si>
    <t>本次用到：汉·飞石</t>
  </si>
  <si>
    <t>三、基准表内部留白与冲突（只报告，未修改任何基准表单元格）</t>
  </si>
  <si>
    <t>· 反制（B45）：有名字、有效果描述、无触发条件、等价费用一栏为空 —— 基础表里唯一无法计价的条目。定位已明确为「埋伏型解场牌／陷阱」（不可主动使用、触发即发动、不耗费用、出奇制胜），已记录的示例是「对方攻击己方大营的第一个单位，攻击后立即死亡」。仍缺「触发条件」与「触发后效果」两项，故无法定价、暂不落表；若将来补档，档位由你定，脚本不擅自填价。</t>
  </si>
  <si>
    <t>· 守护部署加成：B29 备注写「部署时+1hp」，策划案 §4.3 写 +3HP。→ 本次按你确认取 +1HP（卡面 HP 已含）。</t>
  </si>
  <si>
    <t>· 血战等价费用：B30 = 1.5，策划案 §4.3 写 2.0。→ 本次按你确认取 1.5。</t>
  </si>
  <si>
    <t>· 闪击适用范围：B27 备注「骑兵类携带时等价为0，未携带算入-0.5」，没写步/弓/器怎么办。→ 本次按你确认：只对骑兵适用，步/弓/器不受影响。</t>
  </si>
  <si>
    <t>· 直伤类（B60~B64）：「指定3点=2」「随机3点=1」「整排2点=3」「消灭随机=6」四个档位彼此不成线性，1/2/4/5/7 点与整排 3 点都无锚点，因此这些档位本次一律不用。</t>
  </si>
  <si>
    <t>· 弃牌类（B56）：弃 1 张手牌固定 2 费，单独无法撑满 2 费以上的策略卡，因此必然要搭配第二个效果使用（秦·军功爵、汉·离间 都是「弃牌 + 另一效果」）。</t>
  </si>
  <si>
    <t>· buff 类（B50~B52）只给了「每点」费率，没有给「群体增益」的费率上限；备注只限定「仅限策略卡和支援卡的部署效果，增加数值的费用不得超过 3 费」。→ 本次全部按单点费率计价，单张 buff 费用最高 2.0 费（汉·破敌封赏 HP+4、秦·军功爵 ATK+2），未触 3 费上限。</t>
  </si>
  <si>
    <t>· ★支援(器械)类：已按你更新后的系数（E12:F12 = 1/1）重做。旧系数 2/2 时 3 费器械「面板+最小效果」最低 8.5，而门槛上限是 8.558 —— 只剩 0.25 余量、比基础表最小的效果价 0.5 还小，支援卡根本无法成立；改成 1/1 后预算与面板同量纲，3 费 3/4 +「本回合HP+3」（B51 每点 hp 记 0.5 费 = 1.5 费）正好落在预算上（8.5 vs 8.208，差值 +0.292）。秦·连弩台、汉·治粟都尉 即此配置。注意：支援(器械)现按 2 次行动计（与骑兵同级——器械架设后可连续输出）。</t>
  </si>
  <si>
    <t>· 费用曲线：策略牌的「效果价 = 费用」是硬约束，而基础表的效果价档位只有 0.5 / 1 / 1.5 / 2 / 2.5 / 3 / 4 / 6，因此不是每个费用点都能配出策略卡（5 费只有「整排2点(3) + 兵回血3(2)」一类组合，6 费只有「摸牌3」「消灭随机」）。1 费档本次用「随机直伤3（B61 = 1 费）」做成了 秦·弩矢督 与 汉·招降。</t>
  </si>
  <si>
    <t>· B47~B59 之间有留白行（47/57/58/59 附近的空行），未来若补新条目，补进去后本脚本会自动可用（改 ENTRY / EFFECT_TEXT 即可）。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</si>
</sst>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00"/>
    <numFmt numFmtId="178" formatCode="\+0.000;\-0.000;0.000"/>
    <numFmt numFmtId="179" formatCode="0.00_ "/>
  </numFmts>
  <fonts count="28">
    <font>
      <sz val="11"/>
      <color theme="1"/>
      <name val="宋体"/>
      <charset val="134"/>
      <scheme val="minor"/>
    </font>
    <font>
      <b/>
      <sz val="16"/>
      <color rgb="FF8B1A1A"/>
      <name val="宋体"/>
      <charset val="134"/>
      <scheme val="minor"/>
    </font>
    <font>
      <sz val="9"/>
      <color rgb="FF404040"/>
      <name val="宋体"/>
      <charset val="134"/>
      <scheme val="minor"/>
    </font>
    <font>
      <b/>
      <sz val="11"/>
      <color rgb="FF1F3864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i/>
      <sz val="9"/>
      <color rgb="FF7B3F00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trike/>
      <sz val="1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2F4F6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10" borderId="13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14">
      <alignment vertical="center"/>
    </xf>
    <xf numFmtId="0" fontId="15" fillId="0" borderId="14">
      <alignment vertical="center"/>
    </xf>
    <xf numFmtId="0" fontId="16" fillId="0" borderId="15">
      <alignment vertical="center"/>
    </xf>
    <xf numFmtId="0" fontId="16" fillId="0" borderId="0">
      <alignment vertical="center"/>
    </xf>
    <xf numFmtId="0" fontId="17" fillId="11" borderId="16">
      <alignment vertical="center"/>
    </xf>
    <xf numFmtId="0" fontId="18" fillId="12" borderId="17">
      <alignment vertical="center"/>
    </xf>
    <xf numFmtId="0" fontId="19" fillId="12" borderId="16">
      <alignment vertical="center"/>
    </xf>
    <xf numFmtId="0" fontId="20" fillId="13" borderId="18">
      <alignment vertical="center"/>
    </xf>
    <xf numFmtId="0" fontId="21" fillId="0" borderId="19">
      <alignment vertical="center"/>
    </xf>
    <xf numFmtId="0" fontId="22" fillId="0" borderId="2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6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6" fillId="32" borderId="0">
      <alignment vertical="center"/>
    </xf>
    <xf numFmtId="0" fontId="26" fillId="33" borderId="0">
      <alignment vertical="center"/>
    </xf>
    <xf numFmtId="0" fontId="27" fillId="34" borderId="0">
      <alignment vertical="center"/>
    </xf>
    <xf numFmtId="0" fontId="27" fillId="35" borderId="0">
      <alignment vertical="center"/>
    </xf>
    <xf numFmtId="0" fontId="26" fillId="36" borderId="0">
      <alignment vertical="center"/>
    </xf>
    <xf numFmtId="0" fontId="26" fillId="37" borderId="0">
      <alignment vertical="center"/>
    </xf>
    <xf numFmtId="0" fontId="27" fillId="38" borderId="0">
      <alignment vertical="center"/>
    </xf>
    <xf numFmtId="0" fontId="27" fillId="39" borderId="0">
      <alignment vertical="center"/>
    </xf>
    <xf numFmtId="0" fontId="26" fillId="40" borderId="0">
      <alignment vertical="center"/>
    </xf>
  </cellStyleXfs>
  <cellXfs count="41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0" borderId="2" xfId="0" applyBorder="1" applyAlignment="1"/>
    <xf numFmtId="0" fontId="0" fillId="0" borderId="3" xfId="0" applyBorder="1" applyAlignment="1"/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76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177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vertical="center"/>
    </xf>
    <xf numFmtId="179" fontId="0" fillId="0" borderId="4" xfId="0" applyNumberFormat="1" applyBorder="1" applyAlignment="1">
      <alignment vertical="center"/>
    </xf>
    <xf numFmtId="179" fontId="6" fillId="4" borderId="4" xfId="0" applyNumberFormat="1" applyFont="1" applyFill="1" applyBorder="1" applyAlignment="1">
      <alignment vertical="center"/>
    </xf>
    <xf numFmtId="0" fontId="0" fillId="0" borderId="4" xfId="0" applyBorder="1" applyAlignment="1">
      <alignment vertical="center"/>
    </xf>
    <xf numFmtId="179" fontId="7" fillId="4" borderId="4" xfId="0" applyNumberFormat="1" applyFont="1" applyFill="1" applyBorder="1" applyAlignment="1">
      <alignment vertical="center"/>
    </xf>
    <xf numFmtId="0" fontId="0" fillId="5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9" borderId="0" xfId="0" applyFill="1" applyAlignment="1">
      <alignment horizontal="center" vertical="center"/>
    </xf>
    <xf numFmtId="0" fontId="0" fillId="0" borderId="10" xfId="0" applyBorder="1" applyAlignment="1"/>
    <xf numFmtId="0" fontId="0" fillId="0" borderId="11" xfId="0" applyBorder="1" applyAlignment="1"/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75623"/>
  </sheetPr>
  <dimension ref="A1:G33"/>
  <sheetViews>
    <sheetView workbookViewId="0">
      <selection activeCell="A1" sqref="A1:G1"/>
    </sheetView>
  </sheetViews>
  <sheetFormatPr defaultColWidth="9" defaultRowHeight="14" outlineLevelCol="6"/>
  <cols>
    <col min="1" max="1" width="5" style="1" customWidth="1"/>
    <col min="2" max="2" width="16" style="1" customWidth="1"/>
    <col min="3" max="6" width="10" style="1" customWidth="1"/>
    <col min="7" max="7" width="46" style="1" customWidth="1"/>
  </cols>
  <sheetData>
    <row r="1" ht="26" customHeight="1" spans="1:7">
      <c r="A1" s="2" t="s">
        <v>0</v>
      </c>
    </row>
    <row r="2" spans="1:7">
      <c r="A2" s="3" t="s">
        <v>1</v>
      </c>
    </row>
    <row r="4" spans="1:7">
      <c r="A4" s="4" t="s">
        <v>2</v>
      </c>
      <c r="B4" s="5"/>
      <c r="C4" s="5"/>
      <c r="D4" s="5"/>
      <c r="E4" s="5"/>
      <c r="F4" s="5"/>
      <c r="G4" s="6"/>
    </row>
    <row r="5" spans="1:7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</row>
    <row r="6" ht="42" spans="1:7">
      <c r="A6" s="10" t="s">
        <v>10</v>
      </c>
      <c r="B6" s="8">
        <v>24</v>
      </c>
      <c r="C6" s="8">
        <v>17</v>
      </c>
      <c r="D6" s="8">
        <v>7</v>
      </c>
      <c r="E6" s="8">
        <v>8</v>
      </c>
      <c r="F6" s="8">
        <v>8</v>
      </c>
      <c r="G6" s="8" t="s">
        <v>11</v>
      </c>
    </row>
    <row r="7" ht="42" spans="1:7">
      <c r="A7" s="10" t="s">
        <v>12</v>
      </c>
      <c r="B7" s="8">
        <v>24</v>
      </c>
      <c r="C7" s="8">
        <v>18</v>
      </c>
      <c r="D7" s="8">
        <v>6</v>
      </c>
      <c r="E7" s="8">
        <v>8</v>
      </c>
      <c r="F7" s="8">
        <v>8</v>
      </c>
      <c r="G7" s="8" t="s">
        <v>11</v>
      </c>
    </row>
    <row r="9" spans="1:7">
      <c r="A9" s="7" t="s">
        <v>13</v>
      </c>
      <c r="B9" s="7" t="s">
        <v>14</v>
      </c>
      <c r="C9" s="7" t="s">
        <v>15</v>
      </c>
      <c r="D9" s="7" t="s">
        <v>16</v>
      </c>
      <c r="E9" s="7" t="s">
        <v>17</v>
      </c>
      <c r="F9" s="5"/>
      <c r="G9" s="6"/>
    </row>
    <row r="10" spans="1:7">
      <c r="A10" s="40" t="s">
        <v>18</v>
      </c>
      <c r="B10" s="8" t="s">
        <v>19</v>
      </c>
      <c r="C10" s="8">
        <v>0</v>
      </c>
      <c r="D10" s="14">
        <v>0</v>
      </c>
      <c r="E10" s="9" t="s">
        <v>20</v>
      </c>
      <c r="F10" s="5"/>
      <c r="G10" s="6"/>
    </row>
    <row r="11" spans="1:7">
      <c r="A11" s="40" t="s">
        <v>21</v>
      </c>
      <c r="B11" s="8" t="s">
        <v>22</v>
      </c>
      <c r="C11" s="8">
        <v>0</v>
      </c>
      <c r="D11" s="14">
        <v>0</v>
      </c>
      <c r="E11" s="9" t="s">
        <v>20</v>
      </c>
      <c r="F11" s="5"/>
      <c r="G11" s="6"/>
    </row>
    <row r="13" spans="1:7">
      <c r="A13" s="4" t="s">
        <v>23</v>
      </c>
      <c r="B13" s="5"/>
      <c r="C13" s="5"/>
      <c r="D13" s="5"/>
      <c r="E13" s="5"/>
      <c r="F13" s="5"/>
      <c r="G13" s="6"/>
    </row>
    <row r="14" spans="1:7">
      <c r="A14" s="7" t="s">
        <v>3</v>
      </c>
      <c r="B14" s="7" t="s">
        <v>24</v>
      </c>
      <c r="C14" s="7" t="s">
        <v>25</v>
      </c>
      <c r="D14" s="7" t="s">
        <v>26</v>
      </c>
      <c r="E14" s="7" t="s">
        <v>27</v>
      </c>
      <c r="F14" s="7" t="s">
        <v>28</v>
      </c>
      <c r="G14" s="7" t="s">
        <v>29</v>
      </c>
    </row>
    <row r="15" spans="1:7">
      <c r="A15" s="10" t="s">
        <v>30</v>
      </c>
      <c r="B15" s="8">
        <f>COUNTIF(秦·卡池!$I$5:$I$200,1)</f>
        <v>2</v>
      </c>
      <c r="C15" s="8">
        <f>COUNTIF(秦·卡池!$I$5:$I$200,2)</f>
        <v>6</v>
      </c>
      <c r="D15" s="8">
        <f>COUNTIF(秦·卡池!$I$5:$I$200,3)</f>
        <v>6</v>
      </c>
      <c r="E15" s="8">
        <f>COUNTIF(秦·卡池!$I$5:$I$200,4)</f>
        <v>5</v>
      </c>
      <c r="F15" s="8">
        <f>COUNTIF(秦·卡池!$I$5:$I$200,5)</f>
        <v>1</v>
      </c>
      <c r="G15" s="8">
        <f>COUNTIF(秦·卡池!$I$5:$I$200,"&gt;=6")</f>
        <v>4</v>
      </c>
    </row>
    <row r="16" spans="1:7">
      <c r="A16" s="10" t="s">
        <v>31</v>
      </c>
      <c r="B16" s="8">
        <f>COUNTIF(汉·卡池!$I$5:$I$200,1)</f>
        <v>2</v>
      </c>
      <c r="C16" s="8">
        <f>COUNTIF(汉·卡池!$I$5:$I$200,2)</f>
        <v>3</v>
      </c>
      <c r="D16" s="8">
        <f>COUNTIF(汉·卡池!$I$5:$I$200,3)</f>
        <v>8</v>
      </c>
      <c r="E16" s="8">
        <f>COUNTIF(汉·卡池!$I$5:$I$200,4)</f>
        <v>5</v>
      </c>
      <c r="F16" s="8">
        <f>COUNTIF(汉·卡池!$I$5:$I$200,5)</f>
        <v>3</v>
      </c>
      <c r="G16" s="8">
        <f>COUNTIF(汉·卡池!$I$5:$I$200,"&gt;=6")</f>
        <v>3</v>
      </c>
    </row>
    <row r="18" ht="42" spans="1:7">
      <c r="A18" s="10" t="s">
        <v>32</v>
      </c>
      <c r="B18" s="9" t="s">
        <v>33</v>
      </c>
      <c r="C18" s="5"/>
      <c r="D18" s="5"/>
      <c r="E18" s="5"/>
      <c r="F18" s="5"/>
      <c r="G18" s="6"/>
    </row>
    <row r="19" ht="42" spans="1:7">
      <c r="A19" s="10" t="s">
        <v>34</v>
      </c>
      <c r="B19" s="9" t="s">
        <v>35</v>
      </c>
      <c r="C19" s="5"/>
      <c r="D19" s="5"/>
      <c r="E19" s="5"/>
      <c r="F19" s="5"/>
      <c r="G19" s="6"/>
    </row>
    <row r="21" spans="1:7">
      <c r="A21" s="4" t="s">
        <v>36</v>
      </c>
      <c r="B21" s="5"/>
      <c r="C21" s="5"/>
      <c r="D21" s="5"/>
      <c r="E21" s="5"/>
      <c r="F21" s="5"/>
      <c r="G21" s="6"/>
    </row>
    <row r="22" customHeight="1" spans="1:7">
      <c r="A22" s="3" t="s">
        <v>37</v>
      </c>
    </row>
    <row r="23" customHeight="1" spans="1:7">
      <c r="A23" s="3" t="s">
        <v>38</v>
      </c>
    </row>
    <row r="24" customHeight="1" spans="1:7">
      <c r="A24" s="3" t="s">
        <v>39</v>
      </c>
    </row>
    <row r="25" customHeight="1" spans="1:7">
      <c r="A25" s="3" t="s">
        <v>40</v>
      </c>
    </row>
    <row r="26" customHeight="1" spans="1:7">
      <c r="A26" s="3" t="s">
        <v>41</v>
      </c>
    </row>
    <row r="27" customHeight="1" spans="1:7">
      <c r="A27" s="3" t="s">
        <v>42</v>
      </c>
    </row>
    <row r="28" customHeight="1" spans="1:7">
      <c r="A28" s="3" t="s">
        <v>43</v>
      </c>
    </row>
    <row r="29" customHeight="1" spans="1:7">
      <c r="A29" s="3" t="s">
        <v>44</v>
      </c>
    </row>
    <row r="30" customHeight="1" spans="1:7">
      <c r="A30" s="3" t="s">
        <v>45</v>
      </c>
    </row>
    <row r="31" customHeight="1" spans="1:7">
      <c r="A31" s="3" t="s">
        <v>46</v>
      </c>
    </row>
    <row r="32" customHeight="1" spans="1:7">
      <c r="A32" s="3" t="s">
        <v>47</v>
      </c>
    </row>
    <row r="33" customHeight="1" spans="1:1">
      <c r="A33" s="3" t="s">
        <v>48</v>
      </c>
    </row>
  </sheetData>
  <mergeCells count="22">
    <mergeCell ref="A1:G1"/>
    <mergeCell ref="A2:G2"/>
    <mergeCell ref="A4:G4"/>
    <mergeCell ref="E9:G9"/>
    <mergeCell ref="E10:G10"/>
    <mergeCell ref="E11:G11"/>
    <mergeCell ref="A13:G13"/>
    <mergeCell ref="B18:G18"/>
    <mergeCell ref="B19:G19"/>
    <mergeCell ref="A21:G21"/>
    <mergeCell ref="A22:G22"/>
    <mergeCell ref="A23:G23"/>
    <mergeCell ref="A24:G24"/>
    <mergeCell ref="A25:G25"/>
    <mergeCell ref="A26:G26"/>
    <mergeCell ref="A27:G27"/>
    <mergeCell ref="A28:G28"/>
    <mergeCell ref="A29:G29"/>
    <mergeCell ref="A30:G30"/>
    <mergeCell ref="A31:G31"/>
    <mergeCell ref="A32:G32"/>
    <mergeCell ref="A33:G3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6:Q72"/>
  <sheetViews>
    <sheetView tabSelected="1" zoomScale="85" zoomScaleNormal="85" topLeftCell="A26" workbookViewId="0">
      <selection activeCell="F58" sqref="F58"/>
    </sheetView>
  </sheetViews>
  <sheetFormatPr defaultColWidth="9" defaultRowHeight="14"/>
  <cols>
    <col min="1" max="1" width="9" style="16" customWidth="1"/>
    <col min="2" max="2" width="11.9090909090909" style="16" customWidth="1"/>
    <col min="3" max="3" width="92.2" style="16" customWidth="1"/>
    <col min="4" max="4" width="27" style="16" customWidth="1"/>
    <col min="5" max="5" width="63.5454545454545" style="16" customWidth="1"/>
    <col min="6" max="6" width="24.1818181818182" style="16" customWidth="1"/>
    <col min="7" max="7" width="28.7" style="16" customWidth="1"/>
    <col min="8" max="8" width="30.2636363636364" style="16" customWidth="1"/>
    <col min="9" max="11" width="26.8818181818182" style="16" customWidth="1"/>
    <col min="12" max="16384" width="9" style="16" customWidth="1"/>
  </cols>
  <sheetData>
    <row r="6" spans="2:17">
      <c r="B6" s="22"/>
      <c r="C6" s="22"/>
      <c r="D6" s="22"/>
      <c r="E6" s="22" t="s">
        <v>49</v>
      </c>
      <c r="F6" s="22" t="s">
        <v>49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</row>
    <row r="7" spans="2:17">
      <c r="B7" s="23"/>
      <c r="C7" s="23" t="s">
        <v>50</v>
      </c>
      <c r="D7" s="23" t="s">
        <v>51</v>
      </c>
      <c r="E7" s="23" t="s">
        <v>52</v>
      </c>
      <c r="F7" s="23" t="s">
        <v>53</v>
      </c>
      <c r="G7" s="23" t="s">
        <v>54</v>
      </c>
      <c r="H7" s="23" t="s">
        <v>55</v>
      </c>
      <c r="I7" s="23" t="s">
        <v>56</v>
      </c>
      <c r="J7" s="23" t="s">
        <v>57</v>
      </c>
      <c r="K7" s="23" t="s">
        <v>58</v>
      </c>
      <c r="L7" s="23"/>
      <c r="M7" s="23"/>
      <c r="N7" s="23"/>
      <c r="O7" s="23"/>
      <c r="P7" s="23"/>
      <c r="Q7" s="23"/>
    </row>
    <row r="8" spans="2:17">
      <c r="B8" s="23"/>
      <c r="C8" s="23" t="s">
        <v>59</v>
      </c>
      <c r="D8" s="23" t="s">
        <v>60</v>
      </c>
      <c r="E8" s="23" t="s">
        <v>61</v>
      </c>
      <c r="F8" s="23" t="s">
        <v>62</v>
      </c>
      <c r="G8" s="23" t="s">
        <v>63</v>
      </c>
      <c r="H8" s="23" t="s">
        <v>64</v>
      </c>
      <c r="I8" s="23" t="s">
        <v>65</v>
      </c>
      <c r="J8" s="23" t="s">
        <v>66</v>
      </c>
      <c r="K8" s="23" t="s">
        <v>67</v>
      </c>
      <c r="L8" s="23"/>
      <c r="M8" s="23"/>
      <c r="N8" s="23"/>
      <c r="O8" s="23"/>
      <c r="P8" s="23"/>
      <c r="Q8" s="23"/>
    </row>
    <row r="9" spans="2:17">
      <c r="B9" s="24" t="s">
        <v>68</v>
      </c>
      <c r="C9" s="25"/>
      <c r="D9" s="25"/>
      <c r="E9" s="26">
        <v>1.1</v>
      </c>
      <c r="F9" s="26">
        <v>0.9</v>
      </c>
      <c r="G9" s="25">
        <v>0</v>
      </c>
      <c r="H9" s="25">
        <v>0</v>
      </c>
      <c r="I9" s="25">
        <v>0</v>
      </c>
      <c r="J9" s="25">
        <v>0</v>
      </c>
      <c r="K9" s="25"/>
      <c r="L9" s="25"/>
      <c r="M9" s="25"/>
      <c r="N9" s="25"/>
      <c r="O9" s="25"/>
      <c r="P9" s="25"/>
      <c r="Q9" s="25"/>
    </row>
    <row r="10" spans="2:17">
      <c r="B10" s="24" t="s">
        <v>69</v>
      </c>
      <c r="C10" s="25"/>
      <c r="D10" s="25"/>
      <c r="E10" s="26">
        <v>0.9</v>
      </c>
      <c r="F10" s="26">
        <v>1.1</v>
      </c>
      <c r="G10" s="25">
        <v>0</v>
      </c>
      <c r="H10" s="25">
        <v>0</v>
      </c>
      <c r="I10" s="25">
        <v>0</v>
      </c>
      <c r="J10" s="25">
        <v>0</v>
      </c>
      <c r="K10" s="25"/>
      <c r="L10" s="25"/>
      <c r="M10" s="25"/>
      <c r="N10" s="25"/>
      <c r="O10" s="25"/>
      <c r="P10" s="25"/>
      <c r="Q10" s="25"/>
    </row>
    <row r="11" spans="2:17">
      <c r="B11" s="24" t="s">
        <v>70</v>
      </c>
      <c r="C11" s="25"/>
      <c r="D11" s="25"/>
      <c r="E11" s="26">
        <v>1.2</v>
      </c>
      <c r="F11" s="26">
        <v>0.8</v>
      </c>
      <c r="G11" s="25">
        <v>0</v>
      </c>
      <c r="H11" s="25">
        <v>0</v>
      </c>
      <c r="I11" s="25">
        <v>0</v>
      </c>
      <c r="J11" s="25">
        <v>0</v>
      </c>
      <c r="K11" s="25"/>
      <c r="L11" s="25"/>
      <c r="M11" s="25"/>
      <c r="N11" s="25"/>
      <c r="O11" s="25"/>
      <c r="P11" s="25"/>
      <c r="Q11" s="25"/>
    </row>
    <row r="12" spans="2:17">
      <c r="B12" s="24" t="s">
        <v>71</v>
      </c>
      <c r="C12" s="25"/>
      <c r="D12" s="25"/>
      <c r="E12" s="26">
        <v>1</v>
      </c>
      <c r="F12" s="26">
        <v>1</v>
      </c>
      <c r="G12" s="25">
        <v>0</v>
      </c>
      <c r="H12" s="25">
        <v>0</v>
      </c>
      <c r="I12" s="25">
        <v>0</v>
      </c>
      <c r="J12" s="25">
        <v>0</v>
      </c>
      <c r="K12" s="25"/>
      <c r="L12" s="25"/>
      <c r="M12" s="25"/>
      <c r="N12" s="25"/>
      <c r="O12" s="25"/>
      <c r="P12" s="25"/>
      <c r="Q12" s="25"/>
    </row>
    <row r="13" spans="2:17">
      <c r="B13" s="24" t="s">
        <v>72</v>
      </c>
      <c r="C13" s="25"/>
      <c r="D13" s="25"/>
      <c r="E13" s="26"/>
      <c r="F13" s="26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</row>
    <row r="14" spans="2:17">
      <c r="B14" s="24"/>
      <c r="C14" s="25"/>
      <c r="D14" s="25"/>
      <c r="E14" s="26"/>
      <c r="F14" s="26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</row>
    <row r="15" spans="2:17">
      <c r="B15" s="24" t="s">
        <v>73</v>
      </c>
      <c r="C15" s="25" t="s">
        <v>74</v>
      </c>
      <c r="D15" s="25" t="s">
        <v>75</v>
      </c>
      <c r="E15" s="26"/>
      <c r="F15" s="26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</row>
    <row r="17" spans="2:5">
      <c r="B17" s="27" t="s">
        <v>76</v>
      </c>
      <c r="C17" s="28"/>
      <c r="D17" s="28"/>
      <c r="E17" s="29"/>
    </row>
    <row r="18" spans="2:5">
      <c r="B18" s="30"/>
      <c r="C18" s="31"/>
      <c r="D18" s="31"/>
      <c r="E18" s="32"/>
    </row>
    <row r="20" spans="2:5">
      <c r="B20" s="33" t="s">
        <v>77</v>
      </c>
    </row>
    <row r="23" spans="2:5">
      <c r="B23" s="27" t="s">
        <v>78</v>
      </c>
      <c r="C23" s="28"/>
      <c r="D23" s="28"/>
      <c r="E23" s="29"/>
    </row>
    <row r="24" spans="2:5">
      <c r="B24" s="30"/>
      <c r="C24" s="31"/>
      <c r="D24" s="31"/>
      <c r="E24" s="32"/>
    </row>
    <row r="26" spans="2:5">
      <c r="B26" s="25" t="s">
        <v>79</v>
      </c>
      <c r="C26" s="25" t="s">
        <v>80</v>
      </c>
      <c r="D26" s="25" t="s">
        <v>81</v>
      </c>
      <c r="E26" s="25" t="s">
        <v>82</v>
      </c>
    </row>
    <row r="27" spans="2:5">
      <c r="B27" s="25" t="s">
        <v>83</v>
      </c>
      <c r="C27" s="25" t="s">
        <v>84</v>
      </c>
      <c r="D27" s="25">
        <v>0.5</v>
      </c>
      <c r="E27" s="25" t="s">
        <v>85</v>
      </c>
    </row>
    <row r="28" spans="2:5">
      <c r="B28" s="25" t="s">
        <v>86</v>
      </c>
      <c r="C28" s="25" t="s">
        <v>87</v>
      </c>
      <c r="D28" s="25">
        <v>0.5</v>
      </c>
      <c r="E28" s="25"/>
    </row>
    <row r="29" spans="2:5">
      <c r="B29" s="25" t="s">
        <v>88</v>
      </c>
      <c r="C29" s="25" t="s">
        <v>89</v>
      </c>
      <c r="D29" s="25">
        <v>1</v>
      </c>
      <c r="E29" s="25" t="s">
        <v>90</v>
      </c>
    </row>
    <row r="30" spans="2:5">
      <c r="B30" s="25" t="s">
        <v>91</v>
      </c>
      <c r="C30" s="25" t="s">
        <v>92</v>
      </c>
      <c r="D30" s="25">
        <v>1.5</v>
      </c>
      <c r="E30" s="25"/>
    </row>
    <row r="31" spans="2:5">
      <c r="B31" s="25" t="s">
        <v>93</v>
      </c>
      <c r="C31" s="25" t="s">
        <v>94</v>
      </c>
      <c r="D31" s="25">
        <v>1</v>
      </c>
      <c r="E31" s="25" t="s">
        <v>95</v>
      </c>
    </row>
    <row r="32" ht="17" customHeight="1" spans="2:5">
      <c r="B32" s="25" t="s">
        <v>96</v>
      </c>
      <c r="C32" s="25" t="s">
        <v>97</v>
      </c>
      <c r="D32" s="25">
        <v>1</v>
      </c>
      <c r="E32" s="25" t="s">
        <v>98</v>
      </c>
    </row>
    <row r="33" spans="2:5">
      <c r="B33" s="34"/>
      <c r="C33" s="25" t="s">
        <v>99</v>
      </c>
      <c r="D33" s="25">
        <v>3</v>
      </c>
      <c r="E33" s="34"/>
    </row>
    <row r="34" spans="2:5">
      <c r="B34" s="35"/>
      <c r="C34" s="25" t="s">
        <v>100</v>
      </c>
      <c r="D34" s="25">
        <v>6</v>
      </c>
      <c r="E34" s="35"/>
    </row>
    <row r="35" spans="2:5">
      <c r="B35" s="36" t="s">
        <v>101</v>
      </c>
      <c r="C35" s="25" t="s">
        <v>102</v>
      </c>
      <c r="D35" s="25">
        <v>0.5</v>
      </c>
      <c r="E35" s="25" t="s">
        <v>103</v>
      </c>
    </row>
    <row r="36" spans="2:5">
      <c r="B36" s="34"/>
      <c r="C36" s="25" t="s">
        <v>104</v>
      </c>
      <c r="D36" s="25">
        <v>1</v>
      </c>
      <c r="E36" s="36" t="s">
        <v>105</v>
      </c>
    </row>
    <row r="37" spans="2:5">
      <c r="B37" s="25" t="s">
        <v>106</v>
      </c>
      <c r="C37" s="25" t="s">
        <v>107</v>
      </c>
      <c r="D37" s="25">
        <v>1</v>
      </c>
      <c r="E37" s="25" t="s">
        <v>98</v>
      </c>
    </row>
    <row r="38" spans="2:5">
      <c r="B38" s="34"/>
      <c r="C38" s="25" t="s">
        <v>108</v>
      </c>
      <c r="D38" s="25">
        <v>2</v>
      </c>
      <c r="E38" s="34"/>
    </row>
    <row r="39" spans="2:5">
      <c r="B39" s="34"/>
      <c r="C39" s="25" t="s">
        <v>109</v>
      </c>
      <c r="D39" s="25">
        <v>3</v>
      </c>
      <c r="E39" s="34"/>
    </row>
    <row r="40" spans="2:5">
      <c r="B40" s="34"/>
      <c r="C40" s="25" t="s">
        <v>110</v>
      </c>
      <c r="D40" s="25">
        <v>2</v>
      </c>
      <c r="E40" s="35"/>
    </row>
    <row r="41" spans="2:5">
      <c r="B41" s="35"/>
      <c r="C41" s="25" t="s">
        <v>111</v>
      </c>
      <c r="D41" s="25">
        <v>1.5</v>
      </c>
      <c r="E41" s="25" t="s">
        <v>112</v>
      </c>
    </row>
    <row r="42" spans="2:5">
      <c r="B42" s="25" t="s">
        <v>113</v>
      </c>
      <c r="C42" s="25" t="s">
        <v>114</v>
      </c>
      <c r="D42" s="25">
        <v>1</v>
      </c>
      <c r="E42" s="25" t="s">
        <v>115</v>
      </c>
    </row>
    <row r="43" spans="2:5">
      <c r="B43" s="25" t="s">
        <v>116</v>
      </c>
      <c r="C43" s="25" t="s">
        <v>114</v>
      </c>
      <c r="D43" s="25">
        <v>2.5</v>
      </c>
      <c r="E43" s="34"/>
    </row>
    <row r="44" spans="2:5">
      <c r="B44" s="25" t="s">
        <v>117</v>
      </c>
      <c r="C44" s="25" t="s">
        <v>114</v>
      </c>
      <c r="D44" s="25">
        <v>4</v>
      </c>
      <c r="E44" s="35"/>
    </row>
    <row r="45" spans="2:5">
      <c r="B45" s="25" t="s">
        <v>118</v>
      </c>
      <c r="C45" s="25"/>
      <c r="D45" s="25"/>
      <c r="E45" s="25" t="s">
        <v>119</v>
      </c>
    </row>
    <row r="46" spans="2:5">
      <c r="B46" s="34"/>
      <c r="C46" s="25"/>
      <c r="D46" s="25"/>
      <c r="E46" s="34"/>
    </row>
    <row r="47" spans="2:5">
      <c r="B47" s="35"/>
      <c r="C47" s="25"/>
      <c r="D47" s="25"/>
      <c r="E47" s="35"/>
    </row>
    <row r="48" spans="2:5">
      <c r="B48" s="25" t="s">
        <v>120</v>
      </c>
      <c r="C48" s="25" t="s">
        <v>121</v>
      </c>
      <c r="D48" s="25">
        <v>1</v>
      </c>
      <c r="E48" s="25" t="s">
        <v>122</v>
      </c>
    </row>
    <row r="49" spans="2:5">
      <c r="B49" s="25" t="s">
        <v>123</v>
      </c>
      <c r="C49" s="25" t="s">
        <v>124</v>
      </c>
      <c r="D49" s="25">
        <v>0.5</v>
      </c>
      <c r="E49" s="25" t="s">
        <v>125</v>
      </c>
    </row>
    <row r="50" spans="2:5">
      <c r="B50" s="36" t="s">
        <v>126</v>
      </c>
      <c r="C50" s="25" t="s">
        <v>127</v>
      </c>
      <c r="D50" s="25" t="s">
        <v>128</v>
      </c>
      <c r="E50" s="36" t="s">
        <v>129</v>
      </c>
    </row>
    <row r="51" spans="2:5">
      <c r="B51" s="34"/>
      <c r="C51" s="25" t="s">
        <v>130</v>
      </c>
      <c r="D51" s="25" t="s">
        <v>131</v>
      </c>
      <c r="E51" s="34"/>
    </row>
    <row r="52" spans="2:5">
      <c r="B52" s="34"/>
      <c r="C52" s="25" t="s">
        <v>132</v>
      </c>
      <c r="D52" s="25" t="s">
        <v>133</v>
      </c>
      <c r="E52" s="34"/>
    </row>
    <row r="53" spans="2:5">
      <c r="B53" s="36" t="s">
        <v>134</v>
      </c>
      <c r="C53" s="25" t="s">
        <v>135</v>
      </c>
      <c r="D53" s="25">
        <v>3</v>
      </c>
      <c r="E53" s="36" t="s">
        <v>136</v>
      </c>
    </row>
    <row r="54" spans="2:5">
      <c r="B54" s="34"/>
      <c r="C54" s="25" t="s">
        <v>137</v>
      </c>
      <c r="D54" s="25">
        <v>2</v>
      </c>
      <c r="E54" s="36" t="s">
        <v>138</v>
      </c>
    </row>
    <row r="55" spans="2:5">
      <c r="B55" s="34"/>
      <c r="C55" s="25" t="s">
        <v>139</v>
      </c>
      <c r="D55" s="25">
        <v>2</v>
      </c>
      <c r="E55" s="36" t="s">
        <v>138</v>
      </c>
    </row>
    <row r="56" spans="2:5">
      <c r="B56" s="36" t="s">
        <v>140</v>
      </c>
      <c r="C56" s="25" t="s">
        <v>141</v>
      </c>
      <c r="D56" s="25">
        <v>2</v>
      </c>
      <c r="E56" s="36" t="s">
        <v>138</v>
      </c>
    </row>
    <row r="57" spans="2:5">
      <c r="B57" s="37" t="s">
        <v>142</v>
      </c>
      <c r="C57" s="25" t="s">
        <v>143</v>
      </c>
      <c r="D57" s="25">
        <v>3</v>
      </c>
      <c r="E57" s="36" t="s">
        <v>136</v>
      </c>
    </row>
    <row r="58" spans="2:5">
      <c r="B58" s="38"/>
      <c r="C58" s="25" t="s">
        <v>144</v>
      </c>
      <c r="D58" s="25">
        <v>5</v>
      </c>
      <c r="E58" s="36" t="s">
        <v>145</v>
      </c>
    </row>
    <row r="59" spans="2:5">
      <c r="B59" s="36" t="s">
        <v>146</v>
      </c>
      <c r="C59" s="25" t="s">
        <v>147</v>
      </c>
      <c r="D59" s="25" t="s">
        <v>148</v>
      </c>
      <c r="E59" s="36" t="s">
        <v>149</v>
      </c>
    </row>
    <row r="60" spans="2:5">
      <c r="B60" s="39"/>
      <c r="C60" s="25"/>
      <c r="D60" s="25"/>
      <c r="E60" s="39"/>
    </row>
    <row r="61" spans="2:5">
      <c r="B61" s="39"/>
      <c r="C61" s="25"/>
      <c r="D61" s="25"/>
      <c r="E61" s="39"/>
    </row>
    <row r="62" spans="2:5">
      <c r="B62" s="39"/>
      <c r="C62" s="25"/>
      <c r="D62" s="25"/>
      <c r="E62" s="39"/>
    </row>
    <row r="63" spans="2:5">
      <c r="B63" s="39"/>
      <c r="C63" s="25"/>
      <c r="D63" s="25"/>
      <c r="E63" s="39"/>
    </row>
    <row r="64" spans="2:5">
      <c r="B64" s="39"/>
      <c r="C64" s="25"/>
      <c r="D64" s="25"/>
      <c r="E64" s="39"/>
    </row>
    <row r="65" spans="2:5">
      <c r="B65" s="39"/>
      <c r="C65" s="25"/>
      <c r="D65" s="25"/>
      <c r="E65" s="39"/>
    </row>
    <row r="66" spans="2:5">
      <c r="B66" s="39"/>
      <c r="C66" s="25"/>
      <c r="D66" s="25"/>
      <c r="E66" s="39"/>
    </row>
    <row r="67" spans="2:5">
      <c r="B67" s="39"/>
      <c r="C67" s="25"/>
      <c r="D67" s="25"/>
      <c r="E67" s="39"/>
    </row>
    <row r="68" spans="2:5">
      <c r="B68" s="25" t="s">
        <v>150</v>
      </c>
      <c r="C68" s="25" t="s">
        <v>151</v>
      </c>
      <c r="D68" s="25">
        <v>2</v>
      </c>
      <c r="E68" s="25" t="s">
        <v>122</v>
      </c>
    </row>
    <row r="69" spans="2:5">
      <c r="B69" s="34"/>
      <c r="C69" s="25" t="s">
        <v>152</v>
      </c>
      <c r="D69" s="25">
        <v>1</v>
      </c>
      <c r="E69" s="34"/>
    </row>
    <row r="70" spans="2:5">
      <c r="B70" s="34"/>
      <c r="C70" s="25"/>
      <c r="D70" s="25"/>
      <c r="E70" s="34"/>
    </row>
    <row r="71" spans="2:5">
      <c r="B71" s="34"/>
      <c r="C71" s="25" t="s">
        <v>153</v>
      </c>
      <c r="D71" s="25">
        <v>6</v>
      </c>
      <c r="E71" s="35"/>
    </row>
    <row r="72" spans="2:5">
      <c r="B72" s="35"/>
      <c r="C72" s="25" t="s">
        <v>154</v>
      </c>
      <c r="D72" s="25">
        <v>3</v>
      </c>
      <c r="E72" s="25" t="s">
        <v>155</v>
      </c>
    </row>
  </sheetData>
  <mergeCells count="17">
    <mergeCell ref="B32:B34"/>
    <mergeCell ref="B35:B36"/>
    <mergeCell ref="B37:B41"/>
    <mergeCell ref="B45:B47"/>
    <mergeCell ref="B50:B52"/>
    <mergeCell ref="B53:B55"/>
    <mergeCell ref="B57:B58"/>
    <mergeCell ref="B68:B72"/>
    <mergeCell ref="E32:E34"/>
    <mergeCell ref="E37:E40"/>
    <mergeCell ref="E42:E44"/>
    <mergeCell ref="E45:E47"/>
    <mergeCell ref="E50:E52"/>
    <mergeCell ref="E68:E71"/>
    <mergeCell ref="B23:E24"/>
    <mergeCell ref="B17:E18"/>
    <mergeCell ref="B20:E2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N21"/>
  <sheetViews>
    <sheetView workbookViewId="0">
      <selection activeCell="E11" sqref="E11"/>
    </sheetView>
  </sheetViews>
  <sheetFormatPr defaultColWidth="9" defaultRowHeight="14"/>
  <cols>
    <col min="2" max="2" width="8.54545454545454" style="1" customWidth="1"/>
    <col min="3" max="6" width="6.54545454545455" style="1" customWidth="1"/>
    <col min="7" max="14" width="7.54545454545455" style="1" customWidth="1"/>
  </cols>
  <sheetData>
    <row r="3" spans="2:14">
      <c r="E3" s="16" t="s">
        <v>156</v>
      </c>
    </row>
    <row r="5" spans="2:14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2:14"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</row>
    <row r="7" spans="2:14">
      <c r="B7" s="18" t="s">
        <v>157</v>
      </c>
      <c r="C7" s="18">
        <v>1</v>
      </c>
      <c r="D7" s="18">
        <v>2</v>
      </c>
      <c r="E7" s="18">
        <v>3</v>
      </c>
      <c r="F7" s="18">
        <v>4</v>
      </c>
      <c r="G7" s="18">
        <v>5</v>
      </c>
      <c r="H7" s="18">
        <v>6</v>
      </c>
      <c r="I7" s="18">
        <v>7</v>
      </c>
      <c r="J7" s="18">
        <v>8</v>
      </c>
      <c r="K7" s="18">
        <v>9</v>
      </c>
      <c r="L7" s="18">
        <v>10</v>
      </c>
      <c r="M7" s="18">
        <v>11</v>
      </c>
      <c r="N7" s="18">
        <v>12</v>
      </c>
    </row>
    <row r="8" spans="2:14">
      <c r="B8" s="18">
        <v>0</v>
      </c>
      <c r="C8" s="18">
        <f t="shared" ref="C8:N8" si="0">(3-C$7/8)*C$7+2*$B8/3-1</f>
        <v>1.875</v>
      </c>
      <c r="D8" s="18">
        <f t="shared" si="0"/>
        <v>4.5</v>
      </c>
      <c r="E8" s="18">
        <f t="shared" si="0"/>
        <v>6.875</v>
      </c>
      <c r="F8" s="19">
        <f t="shared" si="0"/>
        <v>9</v>
      </c>
      <c r="G8" s="19">
        <f t="shared" si="0"/>
        <v>10.875</v>
      </c>
      <c r="H8" s="19">
        <f t="shared" si="0"/>
        <v>12.5</v>
      </c>
      <c r="I8" s="19">
        <f t="shared" si="0"/>
        <v>13.875</v>
      </c>
      <c r="J8" s="19">
        <f t="shared" si="0"/>
        <v>15</v>
      </c>
      <c r="K8" s="19">
        <f t="shared" si="0"/>
        <v>15.875</v>
      </c>
      <c r="L8" s="19">
        <f t="shared" si="0"/>
        <v>16.5</v>
      </c>
      <c r="M8" s="19">
        <f t="shared" si="0"/>
        <v>16.875</v>
      </c>
      <c r="N8" s="19">
        <f t="shared" si="0"/>
        <v>17</v>
      </c>
    </row>
    <row r="9" spans="2:14">
      <c r="B9" s="20">
        <v>1</v>
      </c>
      <c r="C9" s="18">
        <f t="shared" ref="C9:N9" si="1">(3-C$7/8)*C$7+2*$B9/3-1</f>
        <v>2.54166666666667</v>
      </c>
      <c r="D9" s="18">
        <f t="shared" si="1"/>
        <v>5.16666666666667</v>
      </c>
      <c r="E9" s="18">
        <f t="shared" si="1"/>
        <v>7.54166666666667</v>
      </c>
      <c r="F9" s="18">
        <f t="shared" si="1"/>
        <v>9.66666666666667</v>
      </c>
      <c r="G9" s="18">
        <f t="shared" si="1"/>
        <v>11.5416666666667</v>
      </c>
      <c r="H9" s="18">
        <f t="shared" si="1"/>
        <v>13.1666666666667</v>
      </c>
      <c r="I9" s="18">
        <f t="shared" si="1"/>
        <v>14.5416666666667</v>
      </c>
      <c r="J9" s="18">
        <f t="shared" si="1"/>
        <v>15.6666666666667</v>
      </c>
      <c r="K9" s="19">
        <f t="shared" si="1"/>
        <v>16.5416666666667</v>
      </c>
      <c r="L9" s="19">
        <f t="shared" si="1"/>
        <v>17.1666666666667</v>
      </c>
      <c r="M9" s="19">
        <f t="shared" si="1"/>
        <v>17.5416666666667</v>
      </c>
      <c r="N9" s="19">
        <f t="shared" si="1"/>
        <v>17.6666666666667</v>
      </c>
    </row>
    <row r="10" spans="2:14">
      <c r="B10" s="20">
        <v>2</v>
      </c>
      <c r="C10" s="19">
        <f t="shared" ref="C10:N10" si="2">(3-C$7/8)*C$7+2*$B10/3-1</f>
        <v>3.20833333333333</v>
      </c>
      <c r="D10" s="19">
        <f t="shared" si="2"/>
        <v>5.83333333333333</v>
      </c>
      <c r="E10" s="19">
        <f t="shared" si="2"/>
        <v>8.20833333333333</v>
      </c>
      <c r="F10" s="18">
        <f t="shared" si="2"/>
        <v>10.3333333333333</v>
      </c>
      <c r="G10" s="18">
        <f t="shared" si="2"/>
        <v>12.2083333333333</v>
      </c>
      <c r="H10" s="18">
        <f t="shared" si="2"/>
        <v>13.8333333333333</v>
      </c>
      <c r="I10" s="18">
        <f t="shared" si="2"/>
        <v>15.2083333333333</v>
      </c>
      <c r="J10" s="18">
        <f t="shared" si="2"/>
        <v>16.3333333333333</v>
      </c>
      <c r="K10" s="18">
        <f t="shared" si="2"/>
        <v>17.2083333333333</v>
      </c>
      <c r="L10" s="18">
        <f t="shared" si="2"/>
        <v>17.8333333333333</v>
      </c>
      <c r="M10" s="21">
        <f t="shared" si="2"/>
        <v>18.2083333333333</v>
      </c>
      <c r="N10" s="21">
        <f t="shared" si="2"/>
        <v>18.3333333333333</v>
      </c>
    </row>
    <row r="11" spans="2:14">
      <c r="B11" s="18">
        <v>3</v>
      </c>
      <c r="C11" s="19">
        <f t="shared" ref="C11:N11" si="3">(3-C$7/8)*C$7+2*$B11/3-1</f>
        <v>3.875</v>
      </c>
      <c r="D11" s="19">
        <f t="shared" si="3"/>
        <v>6.5</v>
      </c>
      <c r="E11" s="19">
        <f t="shared" si="3"/>
        <v>8.875</v>
      </c>
      <c r="F11" s="19">
        <f t="shared" si="3"/>
        <v>11</v>
      </c>
      <c r="G11" s="19">
        <f t="shared" si="3"/>
        <v>12.875</v>
      </c>
      <c r="H11" s="18">
        <f t="shared" si="3"/>
        <v>14.5</v>
      </c>
      <c r="I11" s="18">
        <f t="shared" si="3"/>
        <v>15.875</v>
      </c>
      <c r="J11" s="18">
        <f t="shared" si="3"/>
        <v>17</v>
      </c>
      <c r="K11" s="18">
        <f t="shared" si="3"/>
        <v>17.875</v>
      </c>
      <c r="L11" s="18">
        <f t="shared" si="3"/>
        <v>18.5</v>
      </c>
      <c r="M11" s="18">
        <f t="shared" si="3"/>
        <v>18.875</v>
      </c>
      <c r="N11" s="18">
        <f t="shared" si="3"/>
        <v>19</v>
      </c>
    </row>
    <row r="12" spans="2:14"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spans="2:14"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2:14"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spans="2:14">
      <c r="B15"/>
      <c r="C15"/>
      <c r="D15"/>
      <c r="E15"/>
      <c r="F15"/>
      <c r="G15"/>
      <c r="H15"/>
      <c r="I15"/>
      <c r="J15"/>
      <c r="K15"/>
      <c r="L15"/>
      <c r="M15"/>
      <c r="N15"/>
    </row>
    <row r="16" spans="2:14">
      <c r="B16"/>
      <c r="C16"/>
      <c r="D16"/>
      <c r="E16"/>
      <c r="F16"/>
      <c r="G16"/>
      <c r="H16"/>
      <c r="I16"/>
      <c r="J16"/>
      <c r="K16"/>
      <c r="L16"/>
      <c r="M16"/>
      <c r="N16"/>
    </row>
    <row r="17" spans="2:14"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 spans="2:14"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</row>
    <row r="19" spans="2:14"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</row>
    <row r="20" spans="2:14"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</row>
    <row r="21" spans="2:14">
      <c r="B21"/>
      <c r="C21"/>
      <c r="D21"/>
      <c r="E21"/>
      <c r="F21"/>
      <c r="G21"/>
      <c r="H21"/>
      <c r="I21"/>
      <c r="J21"/>
      <c r="K21"/>
      <c r="L21"/>
      <c r="M21"/>
      <c r="N21"/>
    </row>
  </sheetData>
  <mergeCells count="1">
    <mergeCell ref="E3:M3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B1A1A"/>
  </sheetPr>
  <dimension ref="A1:W81"/>
  <sheetViews>
    <sheetView topLeftCell="A13" workbookViewId="0">
      <selection activeCell="A1" sqref="A1:W1"/>
    </sheetView>
  </sheetViews>
  <sheetFormatPr defaultColWidth="9" defaultRowHeight="14"/>
  <cols>
    <col min="1" max="1" width="5" style="1" customWidth="1"/>
    <col min="2" max="2" width="11" style="1" customWidth="1"/>
    <col min="3" max="3" width="12" style="1" customWidth="1"/>
    <col min="4" max="5" width="7" style="1" customWidth="1"/>
    <col min="6" max="6" width="9" style="1" customWidth="1"/>
    <col min="7" max="7" width="8" style="1" customWidth="1"/>
    <col min="8" max="8" width="6" style="1" customWidth="1"/>
    <col min="9" max="11" width="9" style="1" customWidth="1"/>
    <col min="12" max="14" width="5" style="1" customWidth="1"/>
    <col min="15" max="15" width="18" style="1" customWidth="1"/>
    <col min="16" max="16" width="20" style="1" customWidth="1"/>
    <col min="17" max="17" width="40" style="1" customWidth="1"/>
    <col min="18" max="18" width="32" style="1" customWidth="1"/>
    <col min="19" max="19" width="20" style="1" customWidth="1"/>
    <col min="20" max="23" width="9" style="1" customWidth="1"/>
  </cols>
  <sheetData>
    <row r="1" ht="26" customHeight="1" spans="1:23">
      <c r="A1" s="2" t="s">
        <v>158</v>
      </c>
    </row>
    <row r="2" spans="1:23">
      <c r="A2" s="3" t="s">
        <v>159</v>
      </c>
    </row>
    <row r="4" spans="1:23">
      <c r="A4" s="4" t="s">
        <v>160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6"/>
    </row>
    <row r="5" spans="1:23">
      <c r="A5" s="7" t="s">
        <v>161</v>
      </c>
      <c r="B5" s="7" t="s">
        <v>162</v>
      </c>
      <c r="C5" s="7" t="s">
        <v>163</v>
      </c>
    </row>
    <row r="6" spans="1:23">
      <c r="A6" s="8" t="s">
        <v>164</v>
      </c>
      <c r="B6" s="11">
        <f>基础公式!E9</f>
        <v>1.1</v>
      </c>
      <c r="C6" s="11">
        <f>基础公式!F9</f>
        <v>0.9</v>
      </c>
    </row>
    <row r="7" spans="1:23">
      <c r="A7" s="8" t="s">
        <v>165</v>
      </c>
      <c r="B7" s="11">
        <f>基础公式!E10</f>
        <v>0.9</v>
      </c>
      <c r="C7" s="11">
        <f>基础公式!F10</f>
        <v>1.1</v>
      </c>
    </row>
    <row r="8" spans="1:23">
      <c r="A8" s="8" t="s">
        <v>166</v>
      </c>
      <c r="B8" s="11">
        <f>基础公式!E11</f>
        <v>1.2</v>
      </c>
      <c r="C8" s="11">
        <f>基础公式!F11</f>
        <v>0.8</v>
      </c>
    </row>
    <row r="9" spans="1:23">
      <c r="A9" s="8" t="s">
        <v>167</v>
      </c>
      <c r="B9" s="11">
        <f>基础公式!E12</f>
        <v>1</v>
      </c>
      <c r="C9" s="11">
        <f>基础公式!F12</f>
        <v>1</v>
      </c>
    </row>
    <row r="11" spans="1:23">
      <c r="A11" s="4" t="s">
        <v>168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6"/>
    </row>
    <row r="12" spans="1:23">
      <c r="A12" s="7" t="s">
        <v>169</v>
      </c>
      <c r="B12" s="7" t="s">
        <v>81</v>
      </c>
      <c r="C12" s="7" t="s">
        <v>170</v>
      </c>
    </row>
    <row r="13" ht="108" spans="1:23">
      <c r="A13" s="8" t="s">
        <v>83</v>
      </c>
      <c r="B13" s="12">
        <v>0.5</v>
      </c>
      <c r="C13" s="9" t="s">
        <v>171</v>
      </c>
    </row>
    <row r="14" ht="36" spans="1:23">
      <c r="A14" s="8" t="s">
        <v>86</v>
      </c>
      <c r="B14" s="12">
        <v>0.5</v>
      </c>
      <c r="C14" s="9" t="s">
        <v>172</v>
      </c>
    </row>
    <row r="15" ht="96" spans="1:23">
      <c r="A15" s="8" t="s">
        <v>88</v>
      </c>
      <c r="B15" s="12">
        <v>1</v>
      </c>
      <c r="C15" s="9" t="s">
        <v>173</v>
      </c>
    </row>
    <row r="16" ht="60" spans="1:23">
      <c r="A16" s="8" t="s">
        <v>91</v>
      </c>
      <c r="B16" s="12">
        <v>1.5</v>
      </c>
      <c r="C16" s="9" t="s">
        <v>174</v>
      </c>
    </row>
    <row r="17" ht="48" spans="1:3">
      <c r="A17" s="8" t="s">
        <v>93</v>
      </c>
      <c r="B17" s="12">
        <v>1</v>
      </c>
      <c r="C17" s="9" t="s">
        <v>175</v>
      </c>
    </row>
    <row r="18" ht="24" spans="1:3">
      <c r="A18" s="8" t="s">
        <v>176</v>
      </c>
      <c r="B18" s="12">
        <v>1</v>
      </c>
      <c r="C18" s="9" t="s">
        <v>177</v>
      </c>
    </row>
    <row r="19" ht="24" spans="1:3">
      <c r="A19" s="8" t="s">
        <v>178</v>
      </c>
      <c r="B19" s="12">
        <v>3</v>
      </c>
      <c r="C19" s="9" t="s">
        <v>179</v>
      </c>
    </row>
    <row r="20" ht="24" spans="1:3">
      <c r="A20" s="8" t="s">
        <v>180</v>
      </c>
      <c r="B20" s="12">
        <v>6</v>
      </c>
      <c r="C20" s="9" t="s">
        <v>181</v>
      </c>
    </row>
    <row r="21" ht="36" spans="1:3">
      <c r="A21" s="8" t="s">
        <v>182</v>
      </c>
      <c r="B21" s="12">
        <v>0.5</v>
      </c>
      <c r="C21" s="9" t="s">
        <v>183</v>
      </c>
    </row>
    <row r="22" ht="36" spans="1:3">
      <c r="A22" s="8" t="s">
        <v>184</v>
      </c>
      <c r="B22" s="12">
        <v>1</v>
      </c>
      <c r="C22" s="9" t="s">
        <v>185</v>
      </c>
    </row>
    <row r="23" ht="24" spans="1:3">
      <c r="A23" s="8" t="s">
        <v>186</v>
      </c>
      <c r="B23" s="12">
        <v>1</v>
      </c>
      <c r="C23" s="9" t="s">
        <v>187</v>
      </c>
    </row>
    <row r="24" ht="24" spans="1:3">
      <c r="A24" s="8" t="s">
        <v>188</v>
      </c>
      <c r="B24" s="12">
        <v>2</v>
      </c>
      <c r="C24" s="9" t="s">
        <v>189</v>
      </c>
    </row>
    <row r="25" ht="24" spans="1:3">
      <c r="A25" s="8" t="s">
        <v>190</v>
      </c>
      <c r="B25" s="12">
        <v>3</v>
      </c>
      <c r="C25" s="9" t="s">
        <v>191</v>
      </c>
    </row>
    <row r="26" ht="24" spans="1:3">
      <c r="A26" s="8" t="s">
        <v>192</v>
      </c>
      <c r="B26" s="12">
        <v>2</v>
      </c>
      <c r="C26" s="9" t="s">
        <v>193</v>
      </c>
    </row>
    <row r="27" ht="24" spans="1:3">
      <c r="A27" s="8" t="s">
        <v>194</v>
      </c>
      <c r="B27" s="12">
        <v>1.5</v>
      </c>
      <c r="C27" s="9" t="s">
        <v>195</v>
      </c>
    </row>
    <row r="28" ht="60" spans="1:3">
      <c r="A28" s="8" t="s">
        <v>113</v>
      </c>
      <c r="B28" s="12">
        <v>1</v>
      </c>
      <c r="C28" s="9" t="s">
        <v>196</v>
      </c>
    </row>
    <row r="29" ht="24" spans="1:3">
      <c r="A29" s="8" t="s">
        <v>116</v>
      </c>
      <c r="B29" s="12">
        <v>2.5</v>
      </c>
      <c r="C29" s="9" t="s">
        <v>197</v>
      </c>
    </row>
    <row r="30" ht="24" spans="1:3">
      <c r="A30" s="8" t="s">
        <v>117</v>
      </c>
      <c r="B30" s="12">
        <v>4</v>
      </c>
      <c r="C30" s="9" t="s">
        <v>198</v>
      </c>
    </row>
    <row r="31" ht="60" spans="1:3">
      <c r="A31" s="8" t="s">
        <v>120</v>
      </c>
      <c r="B31" s="12">
        <v>1</v>
      </c>
      <c r="C31" s="9" t="s">
        <v>199</v>
      </c>
    </row>
    <row r="32" ht="24" spans="1:3">
      <c r="A32" s="8" t="s">
        <v>123</v>
      </c>
      <c r="B32" s="12">
        <v>0.5</v>
      </c>
      <c r="C32" s="9" t="s">
        <v>200</v>
      </c>
    </row>
    <row r="33" ht="36" spans="1:23">
      <c r="A33" s="8" t="s">
        <v>201</v>
      </c>
      <c r="B33" s="12">
        <v>3</v>
      </c>
      <c r="C33" s="9" t="s">
        <v>202</v>
      </c>
    </row>
    <row r="34" ht="36" spans="1:23">
      <c r="A34" s="8" t="s">
        <v>203</v>
      </c>
      <c r="B34" s="12">
        <v>2</v>
      </c>
      <c r="C34" s="9" t="s">
        <v>204</v>
      </c>
    </row>
    <row r="35" ht="36" spans="1:23">
      <c r="A35" s="8" t="s">
        <v>205</v>
      </c>
      <c r="B35" s="12">
        <v>2</v>
      </c>
      <c r="C35" s="9" t="s">
        <v>206</v>
      </c>
    </row>
    <row r="36" ht="24" spans="1:23">
      <c r="A36" s="8" t="s">
        <v>207</v>
      </c>
      <c r="B36" s="12">
        <v>2</v>
      </c>
      <c r="C36" s="9" t="s">
        <v>208</v>
      </c>
    </row>
    <row r="37" ht="60" spans="1:23">
      <c r="A37" s="8" t="s">
        <v>209</v>
      </c>
      <c r="B37" s="12">
        <v>2</v>
      </c>
      <c r="C37" s="9" t="s">
        <v>210</v>
      </c>
    </row>
    <row r="38" ht="60" spans="1:23">
      <c r="A38" s="8" t="s">
        <v>211</v>
      </c>
      <c r="B38" s="12">
        <v>1</v>
      </c>
      <c r="C38" s="9" t="s">
        <v>212</v>
      </c>
    </row>
    <row r="39" ht="60" spans="1:23">
      <c r="A39" s="8" t="s">
        <v>213</v>
      </c>
      <c r="B39" s="12">
        <v>6</v>
      </c>
      <c r="C39" s="9" t="s">
        <v>214</v>
      </c>
    </row>
    <row r="40" ht="60" spans="1:23">
      <c r="A40" s="8" t="s">
        <v>215</v>
      </c>
      <c r="B40" s="12">
        <v>3</v>
      </c>
      <c r="C40" s="9" t="s">
        <v>216</v>
      </c>
    </row>
    <row r="42" ht="84" spans="1:23">
      <c r="A42" s="8" t="s">
        <v>217</v>
      </c>
      <c r="B42" s="12">
        <v>0.75</v>
      </c>
      <c r="C42" s="9" t="s">
        <v>218</v>
      </c>
    </row>
    <row r="43" ht="24" spans="1:23">
      <c r="A43" s="8" t="s">
        <v>219</v>
      </c>
      <c r="B43" s="12">
        <v>0.5</v>
      </c>
      <c r="C43" s="9" t="s">
        <v>220</v>
      </c>
    </row>
    <row r="44" ht="36" spans="1:23">
      <c r="A44" s="8" t="s">
        <v>221</v>
      </c>
      <c r="B44" s="12">
        <v>0.6</v>
      </c>
      <c r="C44" s="9" t="s">
        <v>222</v>
      </c>
    </row>
    <row r="45" ht="84" spans="1:23">
      <c r="A45" s="8" t="s">
        <v>223</v>
      </c>
      <c r="B45" s="12" t="s">
        <v>224</v>
      </c>
      <c r="C45" s="9" t="s">
        <v>225</v>
      </c>
    </row>
    <row r="47" spans="1:23">
      <c r="A47" s="4" t="s">
        <v>226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6"/>
    </row>
    <row r="48" ht="30" customHeight="1" spans="1:23">
      <c r="A48" s="7" t="s">
        <v>227</v>
      </c>
      <c r="B48" s="7" t="s">
        <v>228</v>
      </c>
      <c r="C48" s="7" t="s">
        <v>229</v>
      </c>
      <c r="D48" s="7" t="s">
        <v>230</v>
      </c>
      <c r="E48" s="7" t="s">
        <v>231</v>
      </c>
      <c r="F48" s="7" t="s">
        <v>232</v>
      </c>
      <c r="G48" s="7" t="s">
        <v>233</v>
      </c>
      <c r="H48" s="7" t="s">
        <v>234</v>
      </c>
      <c r="I48" s="7" t="s">
        <v>59</v>
      </c>
      <c r="J48" s="7" t="s">
        <v>60</v>
      </c>
      <c r="K48" s="7" t="s">
        <v>235</v>
      </c>
      <c r="L48" s="7" t="s">
        <v>236</v>
      </c>
      <c r="M48" s="7" t="s">
        <v>237</v>
      </c>
      <c r="N48" s="7" t="s">
        <v>238</v>
      </c>
      <c r="O48" s="7" t="s">
        <v>239</v>
      </c>
      <c r="P48" s="7" t="s">
        <v>240</v>
      </c>
      <c r="Q48" s="7" t="s">
        <v>80</v>
      </c>
      <c r="R48" s="7" t="s">
        <v>241</v>
      </c>
      <c r="S48" s="7" t="s">
        <v>242</v>
      </c>
      <c r="T48" s="7" t="s">
        <v>243</v>
      </c>
      <c r="U48" s="7" t="s">
        <v>244</v>
      </c>
      <c r="V48" s="7" t="s">
        <v>245</v>
      </c>
      <c r="W48" s="7" t="s">
        <v>246</v>
      </c>
    </row>
    <row r="49" spans="1:23">
      <c r="A49" s="8">
        <v>1</v>
      </c>
      <c r="B49" s="8" t="s">
        <v>247</v>
      </c>
      <c r="C49" s="10" t="s">
        <v>248</v>
      </c>
      <c r="D49" s="8" t="s">
        <v>30</v>
      </c>
      <c r="E49" s="8" t="s">
        <v>7</v>
      </c>
      <c r="F49" s="8" t="s">
        <v>5</v>
      </c>
      <c r="G49" s="8" t="s">
        <v>164</v>
      </c>
      <c r="H49" s="8" t="s">
        <v>249</v>
      </c>
      <c r="I49" s="8">
        <v>1</v>
      </c>
      <c r="J49" s="8">
        <v>1</v>
      </c>
      <c r="K49" s="8">
        <v>1</v>
      </c>
      <c r="L49" s="8">
        <v>1</v>
      </c>
      <c r="M49" s="8">
        <v>2</v>
      </c>
      <c r="N49" s="8">
        <v>1</v>
      </c>
      <c r="O49" s="10"/>
      <c r="P49" s="10"/>
      <c r="Q49" s="9"/>
      <c r="R49" s="13" t="s">
        <v>250</v>
      </c>
      <c r="S49" s="9" t="s">
        <v>251</v>
      </c>
      <c r="T49" s="14">
        <v>0</v>
      </c>
      <c r="U49" s="14">
        <f t="shared" ref="U49:U72" si="0">ROUND((3-$I49/8)*$I49+2*$J49/3-1,3)</f>
        <v>2.542</v>
      </c>
      <c r="V49" s="14">
        <f t="shared" ref="V49:V72" si="1">IF($F49="策略牌",$I49,ROUND(VLOOKUP($G49,$A$6:$C$9,2,FALSE)*N($L49)+VLOOKUP($G49,$A$6:$C$9,3,FALSE)*N($M49)+$T49,3))</f>
        <v>2.9</v>
      </c>
      <c r="W49" s="15">
        <f t="shared" ref="W49:W72" si="2">ROUND($V49-$U49,3)</f>
        <v>0.358</v>
      </c>
    </row>
    <row r="50" spans="1:23">
      <c r="A50" s="8">
        <v>2</v>
      </c>
      <c r="B50" s="8" t="s">
        <v>252</v>
      </c>
      <c r="C50" s="10" t="s">
        <v>253</v>
      </c>
      <c r="D50" s="8" t="s">
        <v>30</v>
      </c>
      <c r="E50" s="8" t="s">
        <v>7</v>
      </c>
      <c r="F50" s="8" t="s">
        <v>5</v>
      </c>
      <c r="G50" s="8" t="s">
        <v>164</v>
      </c>
      <c r="H50" s="8" t="s">
        <v>254</v>
      </c>
      <c r="I50" s="8">
        <v>2</v>
      </c>
      <c r="J50" s="8">
        <v>1</v>
      </c>
      <c r="K50" s="8">
        <v>1</v>
      </c>
      <c r="L50" s="8">
        <v>2</v>
      </c>
      <c r="M50" s="8">
        <v>3</v>
      </c>
      <c r="N50" s="8">
        <v>1</v>
      </c>
      <c r="O50" s="10"/>
      <c r="P50" s="10"/>
      <c r="Q50" s="9"/>
      <c r="R50" s="13" t="s">
        <v>255</v>
      </c>
      <c r="S50" s="9" t="s">
        <v>256</v>
      </c>
      <c r="T50" s="14">
        <v>0</v>
      </c>
      <c r="U50" s="14">
        <f t="shared" si="0"/>
        <v>5.167</v>
      </c>
      <c r="V50" s="14">
        <f t="shared" si="1"/>
        <v>4.9</v>
      </c>
      <c r="W50" s="15">
        <f t="shared" si="2"/>
        <v>-0.267</v>
      </c>
    </row>
    <row r="51" spans="1:23">
      <c r="A51" s="8">
        <v>3</v>
      </c>
      <c r="B51" s="8" t="s">
        <v>257</v>
      </c>
      <c r="C51" s="10" t="s">
        <v>258</v>
      </c>
      <c r="D51" s="8" t="s">
        <v>30</v>
      </c>
      <c r="E51" s="8" t="s">
        <v>7</v>
      </c>
      <c r="F51" s="8" t="s">
        <v>5</v>
      </c>
      <c r="G51" s="8" t="s">
        <v>164</v>
      </c>
      <c r="H51" s="8" t="s">
        <v>254</v>
      </c>
      <c r="I51" s="8">
        <v>3</v>
      </c>
      <c r="J51" s="8">
        <v>1</v>
      </c>
      <c r="K51" s="8">
        <v>1</v>
      </c>
      <c r="L51" s="8">
        <v>3</v>
      </c>
      <c r="M51" s="8">
        <v>5</v>
      </c>
      <c r="N51" s="8">
        <v>1</v>
      </c>
      <c r="O51" s="10"/>
      <c r="P51" s="10"/>
      <c r="Q51" s="9"/>
      <c r="R51" s="13" t="s">
        <v>259</v>
      </c>
      <c r="S51" s="9" t="s">
        <v>260</v>
      </c>
      <c r="T51" s="14">
        <v>0</v>
      </c>
      <c r="U51" s="14">
        <f t="shared" si="0"/>
        <v>7.542</v>
      </c>
      <c r="V51" s="14">
        <f t="shared" si="1"/>
        <v>7.8</v>
      </c>
      <c r="W51" s="15">
        <f t="shared" si="2"/>
        <v>0.258</v>
      </c>
    </row>
    <row r="52" spans="1:23">
      <c r="A52" s="8">
        <v>4</v>
      </c>
      <c r="B52" s="8" t="s">
        <v>261</v>
      </c>
      <c r="C52" s="10" t="s">
        <v>262</v>
      </c>
      <c r="D52" s="8" t="s">
        <v>30</v>
      </c>
      <c r="E52" s="8" t="s">
        <v>7</v>
      </c>
      <c r="F52" s="8" t="s">
        <v>5</v>
      </c>
      <c r="G52" s="8" t="s">
        <v>166</v>
      </c>
      <c r="H52" s="8" t="s">
        <v>249</v>
      </c>
      <c r="I52" s="8">
        <v>2</v>
      </c>
      <c r="J52" s="8">
        <v>1</v>
      </c>
      <c r="K52" s="8">
        <v>1</v>
      </c>
      <c r="L52" s="8">
        <v>3</v>
      </c>
      <c r="M52" s="8">
        <v>2</v>
      </c>
      <c r="N52" s="8">
        <v>2</v>
      </c>
      <c r="O52" s="10"/>
      <c r="P52" s="10"/>
      <c r="Q52" s="9"/>
      <c r="R52" s="13" t="s">
        <v>263</v>
      </c>
      <c r="S52" s="9" t="s">
        <v>264</v>
      </c>
      <c r="T52" s="14">
        <v>0</v>
      </c>
      <c r="U52" s="14">
        <f t="shared" si="0"/>
        <v>5.167</v>
      </c>
      <c r="V52" s="14">
        <f t="shared" si="1"/>
        <v>5.2</v>
      </c>
      <c r="W52" s="15">
        <f t="shared" si="2"/>
        <v>0.033</v>
      </c>
    </row>
    <row r="53" ht="24" spans="1:23">
      <c r="A53" s="8">
        <v>5</v>
      </c>
      <c r="B53" s="8" t="s">
        <v>265</v>
      </c>
      <c r="C53" s="10" t="s">
        <v>266</v>
      </c>
      <c r="D53" s="8" t="s">
        <v>30</v>
      </c>
      <c r="E53" s="8" t="s">
        <v>7</v>
      </c>
      <c r="F53" s="8" t="s">
        <v>5</v>
      </c>
      <c r="G53" s="8" t="s">
        <v>167</v>
      </c>
      <c r="H53" s="8" t="s">
        <v>267</v>
      </c>
      <c r="I53" s="8">
        <v>3</v>
      </c>
      <c r="J53" s="8">
        <v>2</v>
      </c>
      <c r="K53" s="8">
        <v>1</v>
      </c>
      <c r="L53" s="8">
        <v>3</v>
      </c>
      <c r="M53" s="8">
        <v>4</v>
      </c>
      <c r="N53" s="8">
        <v>2</v>
      </c>
      <c r="O53" s="10"/>
      <c r="P53" s="10"/>
      <c r="Q53" s="9" t="s">
        <v>268</v>
      </c>
      <c r="R53" s="13" t="s">
        <v>269</v>
      </c>
      <c r="S53" s="9" t="s">
        <v>270</v>
      </c>
      <c r="T53" s="14">
        <v>1.5</v>
      </c>
      <c r="U53" s="14">
        <f t="shared" si="0"/>
        <v>8.208</v>
      </c>
      <c r="V53" s="14">
        <f t="shared" si="1"/>
        <v>8.5</v>
      </c>
      <c r="W53" s="15">
        <f t="shared" si="2"/>
        <v>0.292</v>
      </c>
    </row>
    <row r="54" ht="24" spans="1:23">
      <c r="A54" s="8">
        <v>6</v>
      </c>
      <c r="B54" s="8" t="s">
        <v>271</v>
      </c>
      <c r="C54" s="10" t="s">
        <v>272</v>
      </c>
      <c r="D54" s="8" t="s">
        <v>30</v>
      </c>
      <c r="E54" s="8" t="s">
        <v>7</v>
      </c>
      <c r="F54" s="8" t="s">
        <v>5</v>
      </c>
      <c r="G54" s="8" t="s">
        <v>165</v>
      </c>
      <c r="H54" s="8" t="s">
        <v>249</v>
      </c>
      <c r="I54" s="8">
        <v>2</v>
      </c>
      <c r="J54" s="8">
        <v>1</v>
      </c>
      <c r="K54" s="8">
        <v>2</v>
      </c>
      <c r="L54" s="8">
        <v>2</v>
      </c>
      <c r="M54" s="8">
        <v>3</v>
      </c>
      <c r="N54" s="8">
        <v>1</v>
      </c>
      <c r="O54" s="10" t="s">
        <v>83</v>
      </c>
      <c r="P54" s="10" t="s">
        <v>273</v>
      </c>
      <c r="Q54" s="9"/>
      <c r="R54" s="13" t="s">
        <v>274</v>
      </c>
      <c r="S54" s="9" t="s">
        <v>275</v>
      </c>
      <c r="T54" s="14">
        <v>0</v>
      </c>
      <c r="U54" s="14">
        <f t="shared" si="0"/>
        <v>5.167</v>
      </c>
      <c r="V54" s="14">
        <f t="shared" si="1"/>
        <v>5.1</v>
      </c>
      <c r="W54" s="15">
        <f t="shared" si="2"/>
        <v>-0.067</v>
      </c>
    </row>
    <row r="55" ht="24" spans="1:23">
      <c r="A55" s="8">
        <v>7</v>
      </c>
      <c r="B55" s="8" t="s">
        <v>276</v>
      </c>
      <c r="C55" s="10" t="s">
        <v>277</v>
      </c>
      <c r="D55" s="8" t="s">
        <v>30</v>
      </c>
      <c r="E55" s="8" t="s">
        <v>7</v>
      </c>
      <c r="F55" s="8" t="s">
        <v>6</v>
      </c>
      <c r="G55" s="8" t="s">
        <v>224</v>
      </c>
      <c r="H55" s="8" t="s">
        <v>224</v>
      </c>
      <c r="I55" s="8">
        <v>1</v>
      </c>
      <c r="J55" s="8">
        <v>0</v>
      </c>
      <c r="K55" s="8"/>
      <c r="L55" s="8"/>
      <c r="M55" s="8"/>
      <c r="N55" s="8"/>
      <c r="O55" s="10"/>
      <c r="P55" s="10"/>
      <c r="Q55" s="9" t="s">
        <v>278</v>
      </c>
      <c r="R55" s="13" t="s">
        <v>279</v>
      </c>
      <c r="S55" s="9" t="s">
        <v>280</v>
      </c>
      <c r="T55" s="14">
        <v>1</v>
      </c>
      <c r="U55" s="14">
        <f t="shared" si="0"/>
        <v>1.875</v>
      </c>
      <c r="V55" s="14">
        <f t="shared" si="1"/>
        <v>1</v>
      </c>
      <c r="W55" s="15">
        <f t="shared" si="2"/>
        <v>-0.875</v>
      </c>
    </row>
    <row r="56" spans="1:23">
      <c r="A56" s="8">
        <v>8</v>
      </c>
      <c r="B56" s="8" t="s">
        <v>281</v>
      </c>
      <c r="C56" s="10" t="s">
        <v>282</v>
      </c>
      <c r="D56" s="8" t="s">
        <v>30</v>
      </c>
      <c r="E56" s="8" t="s">
        <v>7</v>
      </c>
      <c r="F56" s="8" t="s">
        <v>6</v>
      </c>
      <c r="G56" s="8" t="s">
        <v>224</v>
      </c>
      <c r="H56" s="8" t="s">
        <v>224</v>
      </c>
      <c r="I56" s="8">
        <v>2</v>
      </c>
      <c r="J56" s="8">
        <v>0</v>
      </c>
      <c r="K56" s="8"/>
      <c r="L56" s="8"/>
      <c r="M56" s="8"/>
      <c r="N56" s="8"/>
      <c r="O56" s="10"/>
      <c r="P56" s="10"/>
      <c r="Q56" s="9" t="s">
        <v>283</v>
      </c>
      <c r="R56" s="13" t="s">
        <v>284</v>
      </c>
      <c r="S56" s="9" t="s">
        <v>285</v>
      </c>
      <c r="T56" s="14">
        <v>2</v>
      </c>
      <c r="U56" s="14">
        <f t="shared" si="0"/>
        <v>4.5</v>
      </c>
      <c r="V56" s="14">
        <f t="shared" si="1"/>
        <v>2</v>
      </c>
      <c r="W56" s="15">
        <f t="shared" si="2"/>
        <v>-2.5</v>
      </c>
    </row>
    <row r="57" spans="1:23">
      <c r="A57" s="8">
        <v>9</v>
      </c>
      <c r="B57" s="8" t="s">
        <v>286</v>
      </c>
      <c r="C57" s="10" t="s">
        <v>287</v>
      </c>
      <c r="D57" s="8" t="s">
        <v>30</v>
      </c>
      <c r="E57" s="8" t="s">
        <v>8</v>
      </c>
      <c r="F57" s="8" t="s">
        <v>5</v>
      </c>
      <c r="G57" s="8" t="s">
        <v>165</v>
      </c>
      <c r="H57" s="8" t="s">
        <v>249</v>
      </c>
      <c r="I57" s="8">
        <v>3</v>
      </c>
      <c r="J57" s="8">
        <v>1</v>
      </c>
      <c r="K57" s="8">
        <v>2</v>
      </c>
      <c r="L57" s="8">
        <v>3</v>
      </c>
      <c r="M57" s="8">
        <v>4</v>
      </c>
      <c r="N57" s="8">
        <v>1</v>
      </c>
      <c r="O57" s="10" t="s">
        <v>288</v>
      </c>
      <c r="P57" s="10" t="s">
        <v>289</v>
      </c>
      <c r="Q57" s="9"/>
      <c r="R57" s="13" t="s">
        <v>290</v>
      </c>
      <c r="S57" s="9" t="s">
        <v>291</v>
      </c>
      <c r="T57" s="14">
        <v>0.5</v>
      </c>
      <c r="U57" s="14">
        <f t="shared" si="0"/>
        <v>7.542</v>
      </c>
      <c r="V57" s="14">
        <f t="shared" si="1"/>
        <v>7.6</v>
      </c>
      <c r="W57" s="15">
        <f t="shared" si="2"/>
        <v>0.058</v>
      </c>
    </row>
    <row r="58" spans="1:23">
      <c r="A58" s="8">
        <v>10</v>
      </c>
      <c r="B58" s="8" t="s">
        <v>292</v>
      </c>
      <c r="C58" s="10" t="s">
        <v>293</v>
      </c>
      <c r="D58" s="8" t="s">
        <v>30</v>
      </c>
      <c r="E58" s="8" t="s">
        <v>8</v>
      </c>
      <c r="F58" s="8" t="s">
        <v>5</v>
      </c>
      <c r="G58" s="8" t="s">
        <v>165</v>
      </c>
      <c r="H58" s="8" t="s">
        <v>254</v>
      </c>
      <c r="I58" s="8">
        <v>3</v>
      </c>
      <c r="J58" s="8">
        <v>2</v>
      </c>
      <c r="K58" s="8">
        <v>2</v>
      </c>
      <c r="L58" s="8">
        <v>3</v>
      </c>
      <c r="M58" s="8">
        <v>4</v>
      </c>
      <c r="N58" s="8">
        <v>1</v>
      </c>
      <c r="O58" s="10" t="s">
        <v>294</v>
      </c>
      <c r="P58" s="10" t="s">
        <v>295</v>
      </c>
      <c r="Q58" s="9"/>
      <c r="R58" s="13" t="s">
        <v>296</v>
      </c>
      <c r="S58" s="9" t="s">
        <v>297</v>
      </c>
      <c r="T58" s="14">
        <v>1</v>
      </c>
      <c r="U58" s="14">
        <f t="shared" si="0"/>
        <v>8.208</v>
      </c>
      <c r="V58" s="14">
        <f t="shared" si="1"/>
        <v>8.1</v>
      </c>
      <c r="W58" s="15">
        <f t="shared" si="2"/>
        <v>-0.108</v>
      </c>
    </row>
    <row r="59" ht="24" spans="1:23">
      <c r="A59" s="8">
        <v>11</v>
      </c>
      <c r="B59" s="8" t="s">
        <v>298</v>
      </c>
      <c r="C59" s="10" t="s">
        <v>299</v>
      </c>
      <c r="D59" s="8" t="s">
        <v>30</v>
      </c>
      <c r="E59" s="8" t="s">
        <v>8</v>
      </c>
      <c r="F59" s="8" t="s">
        <v>5</v>
      </c>
      <c r="G59" s="8" t="s">
        <v>166</v>
      </c>
      <c r="H59" s="8" t="s">
        <v>254</v>
      </c>
      <c r="I59" s="8">
        <v>3</v>
      </c>
      <c r="J59" s="8">
        <v>1</v>
      </c>
      <c r="K59" s="8">
        <v>1</v>
      </c>
      <c r="L59" s="8">
        <v>4</v>
      </c>
      <c r="M59" s="8">
        <v>3</v>
      </c>
      <c r="N59" s="8">
        <v>2</v>
      </c>
      <c r="O59" s="10"/>
      <c r="P59" s="10"/>
      <c r="Q59" s="9"/>
      <c r="R59" s="13" t="s">
        <v>300</v>
      </c>
      <c r="S59" s="9" t="s">
        <v>301</v>
      </c>
      <c r="T59" s="14">
        <v>0</v>
      </c>
      <c r="U59" s="14">
        <f t="shared" si="0"/>
        <v>7.542</v>
      </c>
      <c r="V59" s="14">
        <f t="shared" si="1"/>
        <v>7.2</v>
      </c>
      <c r="W59" s="15">
        <f t="shared" si="2"/>
        <v>-0.342</v>
      </c>
    </row>
    <row r="60" spans="1:23">
      <c r="A60" s="8">
        <v>12</v>
      </c>
      <c r="B60" s="8" t="s">
        <v>302</v>
      </c>
      <c r="C60" s="10" t="s">
        <v>303</v>
      </c>
      <c r="D60" s="8" t="s">
        <v>30</v>
      </c>
      <c r="E60" s="8" t="s">
        <v>8</v>
      </c>
      <c r="F60" s="8" t="s">
        <v>5</v>
      </c>
      <c r="G60" s="8" t="s">
        <v>164</v>
      </c>
      <c r="H60" s="8" t="s">
        <v>267</v>
      </c>
      <c r="I60" s="8">
        <v>4</v>
      </c>
      <c r="J60" s="8">
        <v>2</v>
      </c>
      <c r="K60" s="8">
        <v>1</v>
      </c>
      <c r="L60" s="8">
        <v>5</v>
      </c>
      <c r="M60" s="8">
        <v>4</v>
      </c>
      <c r="N60" s="8">
        <v>1</v>
      </c>
      <c r="O60" s="10" t="s">
        <v>113</v>
      </c>
      <c r="P60" s="10" t="s">
        <v>304</v>
      </c>
      <c r="Q60" s="9"/>
      <c r="R60" s="13" t="s">
        <v>305</v>
      </c>
      <c r="S60" s="9" t="s">
        <v>306</v>
      </c>
      <c r="T60" s="14">
        <v>1</v>
      </c>
      <c r="U60" s="14">
        <f t="shared" si="0"/>
        <v>10.333</v>
      </c>
      <c r="V60" s="14">
        <f t="shared" si="1"/>
        <v>10.1</v>
      </c>
      <c r="W60" s="15">
        <f t="shared" si="2"/>
        <v>-0.233</v>
      </c>
    </row>
    <row r="61" spans="1:23">
      <c r="A61" s="8">
        <v>13</v>
      </c>
      <c r="B61" s="8" t="s">
        <v>307</v>
      </c>
      <c r="C61" s="10" t="s">
        <v>308</v>
      </c>
      <c r="D61" s="8" t="s">
        <v>30</v>
      </c>
      <c r="E61" s="8" t="s">
        <v>8</v>
      </c>
      <c r="F61" s="8" t="s">
        <v>5</v>
      </c>
      <c r="G61" s="8" t="s">
        <v>164</v>
      </c>
      <c r="H61" s="8" t="s">
        <v>254</v>
      </c>
      <c r="I61" s="8">
        <v>4</v>
      </c>
      <c r="J61" s="8">
        <v>1</v>
      </c>
      <c r="K61" s="8">
        <v>1</v>
      </c>
      <c r="L61" s="8">
        <v>4</v>
      </c>
      <c r="M61" s="8">
        <v>4</v>
      </c>
      <c r="N61" s="8">
        <v>1</v>
      </c>
      <c r="O61" s="10" t="s">
        <v>91</v>
      </c>
      <c r="P61" s="10" t="s">
        <v>309</v>
      </c>
      <c r="Q61" s="9"/>
      <c r="R61" s="13" t="s">
        <v>310</v>
      </c>
      <c r="S61" s="9" t="s">
        <v>311</v>
      </c>
      <c r="T61" s="14">
        <v>1.5</v>
      </c>
      <c r="U61" s="14">
        <f t="shared" si="0"/>
        <v>9.667</v>
      </c>
      <c r="V61" s="14">
        <f t="shared" si="1"/>
        <v>9.5</v>
      </c>
      <c r="W61" s="15">
        <f t="shared" si="2"/>
        <v>-0.167</v>
      </c>
    </row>
    <row r="62" spans="1:23">
      <c r="A62" s="8">
        <v>14</v>
      </c>
      <c r="B62" s="8" t="s">
        <v>312</v>
      </c>
      <c r="C62" s="10" t="s">
        <v>313</v>
      </c>
      <c r="D62" s="8" t="s">
        <v>30</v>
      </c>
      <c r="E62" s="8" t="s">
        <v>8</v>
      </c>
      <c r="F62" s="8" t="s">
        <v>5</v>
      </c>
      <c r="G62" s="8" t="s">
        <v>165</v>
      </c>
      <c r="H62" s="8" t="s">
        <v>249</v>
      </c>
      <c r="I62" s="8">
        <v>4</v>
      </c>
      <c r="J62" s="8">
        <v>1</v>
      </c>
      <c r="K62" s="8">
        <v>2</v>
      </c>
      <c r="L62" s="8">
        <v>6</v>
      </c>
      <c r="M62" s="8">
        <v>4</v>
      </c>
      <c r="N62" s="8">
        <v>1</v>
      </c>
      <c r="O62" s="10" t="s">
        <v>83</v>
      </c>
      <c r="P62" s="10" t="s">
        <v>273</v>
      </c>
      <c r="Q62" s="9"/>
      <c r="R62" s="13" t="s">
        <v>314</v>
      </c>
      <c r="S62" s="9" t="s">
        <v>315</v>
      </c>
      <c r="T62" s="14">
        <v>0</v>
      </c>
      <c r="U62" s="14">
        <f t="shared" si="0"/>
        <v>9.667</v>
      </c>
      <c r="V62" s="14">
        <f t="shared" si="1"/>
        <v>9.8</v>
      </c>
      <c r="W62" s="15">
        <f t="shared" si="2"/>
        <v>0.133</v>
      </c>
    </row>
    <row r="63" ht="24" spans="1:23">
      <c r="A63" s="8">
        <v>15</v>
      </c>
      <c r="B63" s="8" t="s">
        <v>316</v>
      </c>
      <c r="C63" s="10" t="s">
        <v>317</v>
      </c>
      <c r="D63" s="8" t="s">
        <v>30</v>
      </c>
      <c r="E63" s="8" t="s">
        <v>8</v>
      </c>
      <c r="F63" s="8" t="s">
        <v>6</v>
      </c>
      <c r="G63" s="8" t="s">
        <v>224</v>
      </c>
      <c r="H63" s="8" t="s">
        <v>224</v>
      </c>
      <c r="I63" s="8">
        <v>4</v>
      </c>
      <c r="J63" s="8">
        <v>0</v>
      </c>
      <c r="K63" s="8"/>
      <c r="L63" s="8"/>
      <c r="M63" s="8"/>
      <c r="N63" s="8"/>
      <c r="O63" s="10"/>
      <c r="P63" s="10"/>
      <c r="Q63" s="9" t="s">
        <v>318</v>
      </c>
      <c r="R63" s="13" t="s">
        <v>319</v>
      </c>
      <c r="S63" s="9" t="s">
        <v>320</v>
      </c>
      <c r="T63" s="14">
        <v>4</v>
      </c>
      <c r="U63" s="14">
        <f t="shared" si="0"/>
        <v>9</v>
      </c>
      <c r="V63" s="14">
        <f t="shared" si="1"/>
        <v>4</v>
      </c>
      <c r="W63" s="15">
        <f t="shared" si="2"/>
        <v>-5</v>
      </c>
    </row>
    <row r="64" ht="24" spans="1:23">
      <c r="A64" s="8">
        <v>16</v>
      </c>
      <c r="B64" s="8" t="s">
        <v>321</v>
      </c>
      <c r="C64" s="10" t="s">
        <v>322</v>
      </c>
      <c r="D64" s="8" t="s">
        <v>30</v>
      </c>
      <c r="E64" s="8" t="s">
        <v>8</v>
      </c>
      <c r="F64" s="8" t="s">
        <v>6</v>
      </c>
      <c r="G64" s="8" t="s">
        <v>224</v>
      </c>
      <c r="H64" s="8" t="s">
        <v>224</v>
      </c>
      <c r="I64" s="8">
        <v>2</v>
      </c>
      <c r="J64" s="8">
        <v>0</v>
      </c>
      <c r="K64" s="8"/>
      <c r="L64" s="8"/>
      <c r="M64" s="8"/>
      <c r="N64" s="8"/>
      <c r="O64" s="10"/>
      <c r="P64" s="10"/>
      <c r="Q64" s="9" t="s">
        <v>323</v>
      </c>
      <c r="R64" s="13" t="s">
        <v>324</v>
      </c>
      <c r="S64" s="9" t="s">
        <v>325</v>
      </c>
      <c r="T64" s="14">
        <v>2</v>
      </c>
      <c r="U64" s="14">
        <f t="shared" si="0"/>
        <v>4.5</v>
      </c>
      <c r="V64" s="14">
        <f t="shared" si="1"/>
        <v>2</v>
      </c>
      <c r="W64" s="15">
        <f t="shared" si="2"/>
        <v>-2.5</v>
      </c>
    </row>
    <row r="65" spans="1:23">
      <c r="A65" s="8">
        <v>17</v>
      </c>
      <c r="B65" s="8" t="s">
        <v>326</v>
      </c>
      <c r="C65" s="10" t="s">
        <v>327</v>
      </c>
      <c r="D65" s="8" t="s">
        <v>30</v>
      </c>
      <c r="E65" s="8" t="s">
        <v>328</v>
      </c>
      <c r="F65" s="8" t="s">
        <v>5</v>
      </c>
      <c r="G65" s="8" t="s">
        <v>166</v>
      </c>
      <c r="H65" s="8" t="s">
        <v>249</v>
      </c>
      <c r="I65" s="8">
        <v>3</v>
      </c>
      <c r="J65" s="8">
        <v>1</v>
      </c>
      <c r="K65" s="8">
        <v>2</v>
      </c>
      <c r="L65" s="8">
        <v>4</v>
      </c>
      <c r="M65" s="8">
        <v>2</v>
      </c>
      <c r="N65" s="8">
        <v>2</v>
      </c>
      <c r="O65" s="10" t="s">
        <v>93</v>
      </c>
      <c r="P65" s="10" t="s">
        <v>329</v>
      </c>
      <c r="Q65" s="9"/>
      <c r="R65" s="13" t="s">
        <v>330</v>
      </c>
      <c r="S65" s="9" t="s">
        <v>331</v>
      </c>
      <c r="T65" s="14">
        <v>1</v>
      </c>
      <c r="U65" s="14">
        <f t="shared" si="0"/>
        <v>7.542</v>
      </c>
      <c r="V65" s="14">
        <f t="shared" si="1"/>
        <v>7.4</v>
      </c>
      <c r="W65" s="15">
        <f t="shared" si="2"/>
        <v>-0.142</v>
      </c>
    </row>
    <row r="66" spans="1:23">
      <c r="A66" s="8">
        <v>18</v>
      </c>
      <c r="B66" s="8" t="s">
        <v>332</v>
      </c>
      <c r="C66" s="10" t="s">
        <v>333</v>
      </c>
      <c r="D66" s="8" t="s">
        <v>30</v>
      </c>
      <c r="E66" s="8" t="s">
        <v>328</v>
      </c>
      <c r="F66" s="8" t="s">
        <v>6</v>
      </c>
      <c r="G66" s="8" t="s">
        <v>224</v>
      </c>
      <c r="H66" s="8" t="s">
        <v>224</v>
      </c>
      <c r="I66" s="8">
        <v>2</v>
      </c>
      <c r="J66" s="8">
        <v>0</v>
      </c>
      <c r="K66" s="8"/>
      <c r="L66" s="8"/>
      <c r="M66" s="8"/>
      <c r="N66" s="8"/>
      <c r="O66" s="10"/>
      <c r="P66" s="10"/>
      <c r="Q66" s="9" t="s">
        <v>334</v>
      </c>
      <c r="R66" s="13" t="s">
        <v>335</v>
      </c>
      <c r="S66" s="9" t="s">
        <v>336</v>
      </c>
      <c r="T66" s="14">
        <v>2</v>
      </c>
      <c r="U66" s="14">
        <f t="shared" si="0"/>
        <v>4.5</v>
      </c>
      <c r="V66" s="14">
        <f t="shared" si="1"/>
        <v>2</v>
      </c>
      <c r="W66" s="15">
        <f t="shared" si="2"/>
        <v>-2.5</v>
      </c>
    </row>
    <row r="67" ht="24" spans="1:23">
      <c r="A67" s="8">
        <v>19</v>
      </c>
      <c r="B67" s="8" t="s">
        <v>337</v>
      </c>
      <c r="C67" s="10" t="s">
        <v>338</v>
      </c>
      <c r="D67" s="8" t="s">
        <v>30</v>
      </c>
      <c r="E67" s="8" t="s">
        <v>328</v>
      </c>
      <c r="F67" s="8" t="s">
        <v>5</v>
      </c>
      <c r="G67" s="8" t="s">
        <v>164</v>
      </c>
      <c r="H67" s="8" t="s">
        <v>267</v>
      </c>
      <c r="I67" s="8">
        <v>5</v>
      </c>
      <c r="J67" s="8">
        <v>2</v>
      </c>
      <c r="K67" s="8">
        <v>1</v>
      </c>
      <c r="L67" s="8">
        <v>5</v>
      </c>
      <c r="M67" s="8">
        <v>5</v>
      </c>
      <c r="N67" s="8">
        <v>1</v>
      </c>
      <c r="O67" s="10" t="s">
        <v>339</v>
      </c>
      <c r="P67" s="10" t="s">
        <v>340</v>
      </c>
      <c r="Q67" s="9"/>
      <c r="R67" s="13" t="s">
        <v>341</v>
      </c>
      <c r="S67" s="9" t="s">
        <v>311</v>
      </c>
      <c r="T67" s="14">
        <v>2</v>
      </c>
      <c r="U67" s="14">
        <f t="shared" si="0"/>
        <v>12.208</v>
      </c>
      <c r="V67" s="14">
        <f t="shared" si="1"/>
        <v>12</v>
      </c>
      <c r="W67" s="15">
        <f t="shared" si="2"/>
        <v>-0.208</v>
      </c>
    </row>
    <row r="68" ht="24" spans="1:23">
      <c r="A68" s="8">
        <v>20</v>
      </c>
      <c r="B68" s="8" t="s">
        <v>342</v>
      </c>
      <c r="C68" s="10" t="s">
        <v>343</v>
      </c>
      <c r="D68" s="8" t="s">
        <v>30</v>
      </c>
      <c r="E68" s="8" t="s">
        <v>328</v>
      </c>
      <c r="F68" s="8" t="s">
        <v>6</v>
      </c>
      <c r="G68" s="8" t="s">
        <v>224</v>
      </c>
      <c r="H68" s="8" t="s">
        <v>224</v>
      </c>
      <c r="I68" s="8">
        <v>4</v>
      </c>
      <c r="J68" s="8">
        <v>0</v>
      </c>
      <c r="K68" s="8"/>
      <c r="L68" s="8"/>
      <c r="M68" s="8"/>
      <c r="N68" s="8"/>
      <c r="O68" s="10"/>
      <c r="P68" s="10"/>
      <c r="Q68" s="9" t="s">
        <v>344</v>
      </c>
      <c r="R68" s="13" t="s">
        <v>345</v>
      </c>
      <c r="S68" s="9" t="s">
        <v>251</v>
      </c>
      <c r="T68" s="14">
        <v>4</v>
      </c>
      <c r="U68" s="14">
        <f t="shared" si="0"/>
        <v>9</v>
      </c>
      <c r="V68" s="14">
        <f t="shared" si="1"/>
        <v>4</v>
      </c>
      <c r="W68" s="15">
        <f t="shared" si="2"/>
        <v>-5</v>
      </c>
    </row>
    <row r="69" ht="24" spans="1:23">
      <c r="A69" s="8">
        <v>21</v>
      </c>
      <c r="B69" s="8" t="s">
        <v>346</v>
      </c>
      <c r="C69" s="10" t="s">
        <v>347</v>
      </c>
      <c r="D69" s="8" t="s">
        <v>30</v>
      </c>
      <c r="E69" s="8" t="s">
        <v>328</v>
      </c>
      <c r="F69" s="8" t="s">
        <v>6</v>
      </c>
      <c r="G69" s="8" t="s">
        <v>224</v>
      </c>
      <c r="H69" s="8" t="s">
        <v>224</v>
      </c>
      <c r="I69" s="8">
        <v>6</v>
      </c>
      <c r="J69" s="8">
        <v>0</v>
      </c>
      <c r="K69" s="8"/>
      <c r="L69" s="8"/>
      <c r="M69" s="8"/>
      <c r="N69" s="8"/>
      <c r="O69" s="10"/>
      <c r="P69" s="10"/>
      <c r="Q69" s="9" t="s">
        <v>100</v>
      </c>
      <c r="R69" s="13" t="s">
        <v>348</v>
      </c>
      <c r="S69" s="9" t="s">
        <v>349</v>
      </c>
      <c r="T69" s="14">
        <v>6</v>
      </c>
      <c r="U69" s="14">
        <f t="shared" si="0"/>
        <v>12.5</v>
      </c>
      <c r="V69" s="14">
        <f t="shared" si="1"/>
        <v>6</v>
      </c>
      <c r="W69" s="15">
        <f t="shared" si="2"/>
        <v>-6.5</v>
      </c>
    </row>
    <row r="70" ht="24" spans="1:23">
      <c r="A70" s="8">
        <v>22</v>
      </c>
      <c r="B70" s="8" t="s">
        <v>350</v>
      </c>
      <c r="C70" s="10" t="s">
        <v>351</v>
      </c>
      <c r="D70" s="8" t="s">
        <v>30</v>
      </c>
      <c r="E70" s="8" t="s">
        <v>352</v>
      </c>
      <c r="F70" s="8" t="s">
        <v>5</v>
      </c>
      <c r="G70" s="8" t="s">
        <v>165</v>
      </c>
      <c r="H70" s="8" t="s">
        <v>267</v>
      </c>
      <c r="I70" s="8">
        <v>6</v>
      </c>
      <c r="J70" s="8">
        <v>2</v>
      </c>
      <c r="K70" s="8">
        <v>2</v>
      </c>
      <c r="L70" s="8">
        <v>6</v>
      </c>
      <c r="M70" s="8">
        <v>6</v>
      </c>
      <c r="N70" s="8">
        <v>1</v>
      </c>
      <c r="O70" s="10" t="s">
        <v>353</v>
      </c>
      <c r="P70" s="10" t="s">
        <v>354</v>
      </c>
      <c r="Q70" s="9"/>
      <c r="R70" s="13" t="s">
        <v>355</v>
      </c>
      <c r="S70" s="9" t="s">
        <v>306</v>
      </c>
      <c r="T70" s="14">
        <v>1.5</v>
      </c>
      <c r="U70" s="14">
        <f t="shared" si="0"/>
        <v>13.833</v>
      </c>
      <c r="V70" s="14">
        <f t="shared" si="1"/>
        <v>13.5</v>
      </c>
      <c r="W70" s="15">
        <f t="shared" si="2"/>
        <v>-0.333</v>
      </c>
    </row>
    <row r="71" spans="1:23">
      <c r="A71" s="8">
        <v>23</v>
      </c>
      <c r="B71" s="8" t="s">
        <v>356</v>
      </c>
      <c r="C71" s="10" t="s">
        <v>357</v>
      </c>
      <c r="D71" s="8" t="s">
        <v>30</v>
      </c>
      <c r="E71" s="8" t="s">
        <v>352</v>
      </c>
      <c r="F71" s="8" t="s">
        <v>5</v>
      </c>
      <c r="G71" s="8" t="s">
        <v>164</v>
      </c>
      <c r="H71" s="8" t="s">
        <v>267</v>
      </c>
      <c r="I71" s="8">
        <v>6</v>
      </c>
      <c r="J71" s="8">
        <v>2</v>
      </c>
      <c r="K71" s="8">
        <v>1</v>
      </c>
      <c r="L71" s="8">
        <v>6</v>
      </c>
      <c r="M71" s="8">
        <v>6</v>
      </c>
      <c r="N71" s="8">
        <v>1</v>
      </c>
      <c r="O71" s="10" t="s">
        <v>339</v>
      </c>
      <c r="P71" s="10" t="s">
        <v>340</v>
      </c>
      <c r="Q71" s="9"/>
      <c r="R71" s="13" t="s">
        <v>358</v>
      </c>
      <c r="S71" s="9" t="s">
        <v>359</v>
      </c>
      <c r="T71" s="14">
        <v>2</v>
      </c>
      <c r="U71" s="14">
        <f t="shared" si="0"/>
        <v>13.833</v>
      </c>
      <c r="V71" s="14">
        <f t="shared" si="1"/>
        <v>14</v>
      </c>
      <c r="W71" s="15">
        <f t="shared" si="2"/>
        <v>0.167</v>
      </c>
    </row>
    <row r="72" spans="1:23">
      <c r="A72" s="8">
        <v>24</v>
      </c>
      <c r="B72" s="8" t="s">
        <v>360</v>
      </c>
      <c r="C72" s="10" t="s">
        <v>361</v>
      </c>
      <c r="D72" s="8" t="s">
        <v>30</v>
      </c>
      <c r="E72" s="8" t="s">
        <v>352</v>
      </c>
      <c r="F72" s="8" t="s">
        <v>5</v>
      </c>
      <c r="G72" s="8" t="s">
        <v>166</v>
      </c>
      <c r="H72" s="8" t="s">
        <v>267</v>
      </c>
      <c r="I72" s="8">
        <v>6</v>
      </c>
      <c r="J72" s="8">
        <v>2</v>
      </c>
      <c r="K72" s="8">
        <v>1</v>
      </c>
      <c r="L72" s="8">
        <v>7</v>
      </c>
      <c r="M72" s="8">
        <v>7</v>
      </c>
      <c r="N72" s="8">
        <v>2</v>
      </c>
      <c r="O72" s="10"/>
      <c r="P72" s="10"/>
      <c r="Q72" s="9"/>
      <c r="R72" s="13" t="s">
        <v>362</v>
      </c>
      <c r="S72" s="9" t="s">
        <v>291</v>
      </c>
      <c r="T72" s="14">
        <v>0</v>
      </c>
      <c r="U72" s="14">
        <f t="shared" si="0"/>
        <v>13.833</v>
      </c>
      <c r="V72" s="14">
        <f t="shared" si="1"/>
        <v>14</v>
      </c>
      <c r="W72" s="15">
        <f t="shared" si="2"/>
        <v>0.167</v>
      </c>
    </row>
    <row r="74" customHeight="1" spans="1:23">
      <c r="A74" s="3" t="s">
        <v>363</v>
      </c>
    </row>
    <row r="75" customHeight="1" spans="1:23">
      <c r="A75" s="3" t="s">
        <v>364</v>
      </c>
    </row>
    <row r="76" customHeight="1" spans="1:23">
      <c r="A76" s="3" t="s">
        <v>365</v>
      </c>
    </row>
    <row r="77" customHeight="1" spans="1:23">
      <c r="A77" s="3" t="s">
        <v>366</v>
      </c>
    </row>
    <row r="78" customHeight="1" spans="1:23">
      <c r="A78" s="3" t="s">
        <v>367</v>
      </c>
    </row>
    <row r="79" customHeight="1" spans="1:23">
      <c r="A79" s="3" t="s">
        <v>368</v>
      </c>
    </row>
    <row r="80" customHeight="1" spans="1:23">
      <c r="A80" s="3" t="s">
        <v>369</v>
      </c>
    </row>
    <row r="81" customHeight="1" spans="1:1">
      <c r="A81" s="3" t="s">
        <v>370</v>
      </c>
    </row>
  </sheetData>
  <mergeCells count="13">
    <mergeCell ref="A1:W1"/>
    <mergeCell ref="A2:W2"/>
    <mergeCell ref="A4:W4"/>
    <mergeCell ref="A11:W11"/>
    <mergeCell ref="A47:W47"/>
    <mergeCell ref="A74:W74"/>
    <mergeCell ref="A75:W75"/>
    <mergeCell ref="A76:W76"/>
    <mergeCell ref="A77:W77"/>
    <mergeCell ref="A78:W78"/>
    <mergeCell ref="A79:W79"/>
    <mergeCell ref="A80:W80"/>
    <mergeCell ref="A81:W81"/>
  </mergeCells>
  <conditionalFormatting sqref="W49:W72">
    <cfRule type="expression" dxfId="0" priority="1">
      <formula>AND($F49="兵牌",ABS($W49)&lt;=0.35)</formula>
    </cfRule>
    <cfRule type="expression" dxfId="1" priority="2">
      <formula>AND($F49="兵牌",ABS($W49)&gt;0.35)</formula>
    </cfRule>
    <cfRule type="expression" dxfId="0" priority="3">
      <formula>AND($F49="策略牌",ABS($W49)&lt;=1)</formula>
    </cfRule>
    <cfRule type="expression" dxfId="2" priority="4">
      <formula>AND($F49="策略牌",ABS($W49)&gt;1)</formula>
    </cfRule>
  </conditionalFormatting>
  <dataValidations count="4">
    <dataValidation type="list" allowBlank="1" sqref="E49:E72">
      <formula1>"普通,稀有,史诗,传说"</formula1>
    </dataValidation>
    <dataValidation type="list" allowBlank="1" sqref="F49:F72">
      <formula1>"兵牌,策略牌"</formula1>
    </dataValidation>
    <dataValidation type="list" allowBlank="1" sqref="G49:G72">
      <formula1>"步兵,骑兵,弓兵,支援,—"</formula1>
    </dataValidation>
    <dataValidation type="list" allowBlank="1" sqref="H49:H72">
      <formula1>"轻,中,重,—"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3864"/>
  </sheetPr>
  <dimension ref="A1:W81"/>
  <sheetViews>
    <sheetView workbookViewId="0">
      <selection activeCell="A1" sqref="A1:W1"/>
    </sheetView>
  </sheetViews>
  <sheetFormatPr defaultColWidth="9" defaultRowHeight="14"/>
  <cols>
    <col min="1" max="1" width="5" style="1" customWidth="1"/>
    <col min="2" max="2" width="11" style="1" customWidth="1"/>
    <col min="3" max="3" width="12" style="1" customWidth="1"/>
    <col min="4" max="5" width="7" style="1" customWidth="1"/>
    <col min="6" max="6" width="9" style="1" customWidth="1"/>
    <col min="7" max="7" width="8" style="1" customWidth="1"/>
    <col min="8" max="8" width="6" style="1" customWidth="1"/>
    <col min="9" max="11" width="9" style="1" customWidth="1"/>
    <col min="12" max="14" width="5" style="1" customWidth="1"/>
    <col min="15" max="15" width="18" style="1" customWidth="1"/>
    <col min="16" max="16" width="20" style="1" customWidth="1"/>
    <col min="17" max="17" width="40" style="1" customWidth="1"/>
    <col min="18" max="18" width="32" style="1" customWidth="1"/>
    <col min="19" max="19" width="20" style="1" customWidth="1"/>
    <col min="20" max="23" width="9" style="1" customWidth="1"/>
  </cols>
  <sheetData>
    <row r="1" ht="26" customHeight="1" spans="1:23">
      <c r="A1" s="2" t="s">
        <v>371</v>
      </c>
    </row>
    <row r="2" spans="1:23">
      <c r="A2" s="3" t="s">
        <v>159</v>
      </c>
    </row>
    <row r="4" spans="1:23">
      <c r="A4" s="4" t="s">
        <v>160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6"/>
    </row>
    <row r="5" spans="1:23">
      <c r="A5" s="7" t="s">
        <v>161</v>
      </c>
      <c r="B5" s="7" t="s">
        <v>162</v>
      </c>
      <c r="C5" s="7" t="s">
        <v>163</v>
      </c>
    </row>
    <row r="6" spans="1:23">
      <c r="A6" s="8" t="s">
        <v>164</v>
      </c>
      <c r="B6" s="11">
        <f>基础公式!E9</f>
        <v>1.1</v>
      </c>
      <c r="C6" s="11">
        <f>基础公式!F9</f>
        <v>0.9</v>
      </c>
    </row>
    <row r="7" spans="1:23">
      <c r="A7" s="8" t="s">
        <v>165</v>
      </c>
      <c r="B7" s="11">
        <f>基础公式!E10</f>
        <v>0.9</v>
      </c>
      <c r="C7" s="11">
        <f>基础公式!F10</f>
        <v>1.1</v>
      </c>
    </row>
    <row r="8" spans="1:23">
      <c r="A8" s="8" t="s">
        <v>166</v>
      </c>
      <c r="B8" s="11">
        <f>基础公式!E11</f>
        <v>1.2</v>
      </c>
      <c r="C8" s="11">
        <f>基础公式!F11</f>
        <v>0.8</v>
      </c>
    </row>
    <row r="9" spans="1:23">
      <c r="A9" s="8" t="s">
        <v>167</v>
      </c>
      <c r="B9" s="11">
        <f>基础公式!E12</f>
        <v>1</v>
      </c>
      <c r="C9" s="11">
        <f>基础公式!F12</f>
        <v>1</v>
      </c>
    </row>
    <row r="11" spans="1:23">
      <c r="A11" s="4" t="s">
        <v>168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6"/>
    </row>
    <row r="12" spans="1:23">
      <c r="A12" s="7" t="s">
        <v>169</v>
      </c>
      <c r="B12" s="7" t="s">
        <v>81</v>
      </c>
      <c r="C12" s="7" t="s">
        <v>170</v>
      </c>
    </row>
    <row r="13" ht="108" spans="1:23">
      <c r="A13" s="8" t="s">
        <v>83</v>
      </c>
      <c r="B13" s="12">
        <v>0.5</v>
      </c>
      <c r="C13" s="9" t="s">
        <v>171</v>
      </c>
    </row>
    <row r="14" ht="36" spans="1:23">
      <c r="A14" s="8" t="s">
        <v>86</v>
      </c>
      <c r="B14" s="12">
        <v>0.5</v>
      </c>
      <c r="C14" s="9" t="s">
        <v>172</v>
      </c>
    </row>
    <row r="15" ht="96" spans="1:23">
      <c r="A15" s="8" t="s">
        <v>88</v>
      </c>
      <c r="B15" s="12">
        <v>1</v>
      </c>
      <c r="C15" s="9" t="s">
        <v>173</v>
      </c>
    </row>
    <row r="16" ht="60" spans="1:23">
      <c r="A16" s="8" t="s">
        <v>91</v>
      </c>
      <c r="B16" s="12">
        <v>1.5</v>
      </c>
      <c r="C16" s="9" t="s">
        <v>174</v>
      </c>
    </row>
    <row r="17" ht="48" spans="1:3">
      <c r="A17" s="8" t="s">
        <v>93</v>
      </c>
      <c r="B17" s="12">
        <v>1</v>
      </c>
      <c r="C17" s="9" t="s">
        <v>175</v>
      </c>
    </row>
    <row r="18" ht="24" spans="1:3">
      <c r="A18" s="8" t="s">
        <v>176</v>
      </c>
      <c r="B18" s="12">
        <v>1</v>
      </c>
      <c r="C18" s="9" t="s">
        <v>177</v>
      </c>
    </row>
    <row r="19" ht="24" spans="1:3">
      <c r="A19" s="8" t="s">
        <v>178</v>
      </c>
      <c r="B19" s="12">
        <v>3</v>
      </c>
      <c r="C19" s="9" t="s">
        <v>179</v>
      </c>
    </row>
    <row r="20" ht="24" spans="1:3">
      <c r="A20" s="8" t="s">
        <v>180</v>
      </c>
      <c r="B20" s="12">
        <v>6</v>
      </c>
      <c r="C20" s="9" t="s">
        <v>181</v>
      </c>
    </row>
    <row r="21" ht="36" spans="1:3">
      <c r="A21" s="8" t="s">
        <v>182</v>
      </c>
      <c r="B21" s="12">
        <v>0.5</v>
      </c>
      <c r="C21" s="9" t="s">
        <v>183</v>
      </c>
    </row>
    <row r="22" ht="36" spans="1:3">
      <c r="A22" s="8" t="s">
        <v>184</v>
      </c>
      <c r="B22" s="12">
        <v>1</v>
      </c>
      <c r="C22" s="9" t="s">
        <v>185</v>
      </c>
    </row>
    <row r="23" ht="24" spans="1:3">
      <c r="A23" s="8" t="s">
        <v>186</v>
      </c>
      <c r="B23" s="12">
        <v>1</v>
      </c>
      <c r="C23" s="9" t="s">
        <v>187</v>
      </c>
    </row>
    <row r="24" ht="24" spans="1:3">
      <c r="A24" s="8" t="s">
        <v>188</v>
      </c>
      <c r="B24" s="12">
        <v>2</v>
      </c>
      <c r="C24" s="9" t="s">
        <v>189</v>
      </c>
    </row>
    <row r="25" ht="24" spans="1:3">
      <c r="A25" s="8" t="s">
        <v>190</v>
      </c>
      <c r="B25" s="12">
        <v>3</v>
      </c>
      <c r="C25" s="9" t="s">
        <v>191</v>
      </c>
    </row>
    <row r="26" ht="24" spans="1:3">
      <c r="A26" s="8" t="s">
        <v>192</v>
      </c>
      <c r="B26" s="12">
        <v>2</v>
      </c>
      <c r="C26" s="9" t="s">
        <v>193</v>
      </c>
    </row>
    <row r="27" ht="24" spans="1:3">
      <c r="A27" s="8" t="s">
        <v>194</v>
      </c>
      <c r="B27" s="12">
        <v>1.5</v>
      </c>
      <c r="C27" s="9" t="s">
        <v>195</v>
      </c>
    </row>
    <row r="28" ht="60" spans="1:3">
      <c r="A28" s="8" t="s">
        <v>113</v>
      </c>
      <c r="B28" s="12">
        <v>1</v>
      </c>
      <c r="C28" s="9" t="s">
        <v>196</v>
      </c>
    </row>
    <row r="29" ht="24" spans="1:3">
      <c r="A29" s="8" t="s">
        <v>116</v>
      </c>
      <c r="B29" s="12">
        <v>2.5</v>
      </c>
      <c r="C29" s="9" t="s">
        <v>197</v>
      </c>
    </row>
    <row r="30" ht="24" spans="1:3">
      <c r="A30" s="8" t="s">
        <v>117</v>
      </c>
      <c r="B30" s="12">
        <v>4</v>
      </c>
      <c r="C30" s="9" t="s">
        <v>198</v>
      </c>
    </row>
    <row r="31" ht="60" spans="1:3">
      <c r="A31" s="8" t="s">
        <v>120</v>
      </c>
      <c r="B31" s="12">
        <v>1</v>
      </c>
      <c r="C31" s="9" t="s">
        <v>199</v>
      </c>
    </row>
    <row r="32" ht="24" spans="1:3">
      <c r="A32" s="8" t="s">
        <v>123</v>
      </c>
      <c r="B32" s="12">
        <v>0.5</v>
      </c>
      <c r="C32" s="9" t="s">
        <v>200</v>
      </c>
    </row>
    <row r="33" ht="36" spans="1:23">
      <c r="A33" s="8" t="s">
        <v>201</v>
      </c>
      <c r="B33" s="12">
        <v>3</v>
      </c>
      <c r="C33" s="9" t="s">
        <v>202</v>
      </c>
    </row>
    <row r="34" ht="36" spans="1:23">
      <c r="A34" s="8" t="s">
        <v>203</v>
      </c>
      <c r="B34" s="12">
        <v>2</v>
      </c>
      <c r="C34" s="9" t="s">
        <v>204</v>
      </c>
    </row>
    <row r="35" ht="36" spans="1:23">
      <c r="A35" s="8" t="s">
        <v>205</v>
      </c>
      <c r="B35" s="12">
        <v>2</v>
      </c>
      <c r="C35" s="9" t="s">
        <v>206</v>
      </c>
    </row>
    <row r="36" ht="24" spans="1:23">
      <c r="A36" s="8" t="s">
        <v>207</v>
      </c>
      <c r="B36" s="12">
        <v>2</v>
      </c>
      <c r="C36" s="9" t="s">
        <v>208</v>
      </c>
    </row>
    <row r="37" ht="60" spans="1:23">
      <c r="A37" s="8" t="s">
        <v>209</v>
      </c>
      <c r="B37" s="12">
        <v>2</v>
      </c>
      <c r="C37" s="9" t="s">
        <v>210</v>
      </c>
    </row>
    <row r="38" ht="60" spans="1:23">
      <c r="A38" s="8" t="s">
        <v>211</v>
      </c>
      <c r="B38" s="12">
        <v>1</v>
      </c>
      <c r="C38" s="9" t="s">
        <v>212</v>
      </c>
    </row>
    <row r="39" ht="60" spans="1:23">
      <c r="A39" s="8" t="s">
        <v>213</v>
      </c>
      <c r="B39" s="12">
        <v>6</v>
      </c>
      <c r="C39" s="9" t="s">
        <v>214</v>
      </c>
    </row>
    <row r="40" ht="60" spans="1:23">
      <c r="A40" s="8" t="s">
        <v>215</v>
      </c>
      <c r="B40" s="12">
        <v>3</v>
      </c>
      <c r="C40" s="9" t="s">
        <v>216</v>
      </c>
    </row>
    <row r="42" ht="84" spans="1:23">
      <c r="A42" s="8" t="s">
        <v>217</v>
      </c>
      <c r="B42" s="12">
        <v>0.75</v>
      </c>
      <c r="C42" s="9" t="s">
        <v>218</v>
      </c>
    </row>
    <row r="43" ht="24" spans="1:23">
      <c r="A43" s="8" t="s">
        <v>219</v>
      </c>
      <c r="B43" s="12">
        <v>0.5</v>
      </c>
      <c r="C43" s="9" t="s">
        <v>220</v>
      </c>
    </row>
    <row r="44" ht="36" spans="1:23">
      <c r="A44" s="8" t="s">
        <v>221</v>
      </c>
      <c r="B44" s="12">
        <v>0.6</v>
      </c>
      <c r="C44" s="9" t="s">
        <v>222</v>
      </c>
    </row>
    <row r="45" ht="84" spans="1:23">
      <c r="A45" s="8" t="s">
        <v>223</v>
      </c>
      <c r="B45" s="12" t="s">
        <v>224</v>
      </c>
      <c r="C45" s="9" t="s">
        <v>225</v>
      </c>
    </row>
    <row r="47" spans="1:23">
      <c r="A47" s="4" t="s">
        <v>372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6"/>
    </row>
    <row r="48" ht="30" customHeight="1" spans="1:23">
      <c r="A48" s="7" t="s">
        <v>227</v>
      </c>
      <c r="B48" s="7" t="s">
        <v>228</v>
      </c>
      <c r="C48" s="7" t="s">
        <v>229</v>
      </c>
      <c r="D48" s="7" t="s">
        <v>230</v>
      </c>
      <c r="E48" s="7" t="s">
        <v>231</v>
      </c>
      <c r="F48" s="7" t="s">
        <v>232</v>
      </c>
      <c r="G48" s="7" t="s">
        <v>233</v>
      </c>
      <c r="H48" s="7" t="s">
        <v>234</v>
      </c>
      <c r="I48" s="7" t="s">
        <v>59</v>
      </c>
      <c r="J48" s="7" t="s">
        <v>60</v>
      </c>
      <c r="K48" s="7" t="s">
        <v>235</v>
      </c>
      <c r="L48" s="7" t="s">
        <v>236</v>
      </c>
      <c r="M48" s="7" t="s">
        <v>237</v>
      </c>
      <c r="N48" s="7" t="s">
        <v>238</v>
      </c>
      <c r="O48" s="7" t="s">
        <v>239</v>
      </c>
      <c r="P48" s="7" t="s">
        <v>240</v>
      </c>
      <c r="Q48" s="7" t="s">
        <v>80</v>
      </c>
      <c r="R48" s="7" t="s">
        <v>241</v>
      </c>
      <c r="S48" s="7" t="s">
        <v>242</v>
      </c>
      <c r="T48" s="7" t="s">
        <v>243</v>
      </c>
      <c r="U48" s="7" t="s">
        <v>244</v>
      </c>
      <c r="V48" s="7" t="s">
        <v>245</v>
      </c>
      <c r="W48" s="7" t="s">
        <v>246</v>
      </c>
    </row>
    <row r="49" spans="1:23">
      <c r="A49" s="8">
        <v>1</v>
      </c>
      <c r="B49" s="8" t="s">
        <v>373</v>
      </c>
      <c r="C49" s="10" t="s">
        <v>374</v>
      </c>
      <c r="D49" s="8" t="s">
        <v>31</v>
      </c>
      <c r="E49" s="8" t="s">
        <v>7</v>
      </c>
      <c r="F49" s="8" t="s">
        <v>5</v>
      </c>
      <c r="G49" s="8" t="s">
        <v>166</v>
      </c>
      <c r="H49" s="8" t="s">
        <v>249</v>
      </c>
      <c r="I49" s="8">
        <v>2</v>
      </c>
      <c r="J49" s="8">
        <v>1</v>
      </c>
      <c r="K49" s="8">
        <v>1</v>
      </c>
      <c r="L49" s="8">
        <v>3</v>
      </c>
      <c r="M49" s="8">
        <v>2</v>
      </c>
      <c r="N49" s="8">
        <v>2</v>
      </c>
      <c r="O49" s="10"/>
      <c r="P49" s="10"/>
      <c r="Q49" s="9"/>
      <c r="R49" s="13" t="s">
        <v>375</v>
      </c>
      <c r="S49" s="9" t="s">
        <v>376</v>
      </c>
      <c r="T49" s="14">
        <v>0</v>
      </c>
      <c r="U49" s="14">
        <f t="shared" ref="U49:U72" si="0">ROUND((3-$I49/8)*$I49+2*$J49/3-1,3)</f>
        <v>5.167</v>
      </c>
      <c r="V49" s="14">
        <f t="shared" ref="V49:V72" si="1">IF($F49="策略牌",$I49,ROUND(VLOOKUP($G49,$A$6:$C$9,2,FALSE)*N($L49)+VLOOKUP($G49,$A$6:$C$9,3,FALSE)*N($M49)+$T49,3))</f>
        <v>5.2</v>
      </c>
      <c r="W49" s="15">
        <f t="shared" ref="W49:W72" si="2">ROUND($V49-$U49,3)</f>
        <v>0.033</v>
      </c>
    </row>
    <row r="50" spans="1:23">
      <c r="A50" s="8">
        <v>2</v>
      </c>
      <c r="B50" s="8" t="s">
        <v>377</v>
      </c>
      <c r="C50" s="10" t="s">
        <v>378</v>
      </c>
      <c r="D50" s="8" t="s">
        <v>31</v>
      </c>
      <c r="E50" s="8" t="s">
        <v>7</v>
      </c>
      <c r="F50" s="8" t="s">
        <v>5</v>
      </c>
      <c r="G50" s="8" t="s">
        <v>165</v>
      </c>
      <c r="H50" s="8" t="s">
        <v>249</v>
      </c>
      <c r="I50" s="8">
        <v>1</v>
      </c>
      <c r="J50" s="8">
        <v>1</v>
      </c>
      <c r="K50" s="8">
        <v>2</v>
      </c>
      <c r="L50" s="8">
        <v>2</v>
      </c>
      <c r="M50" s="8">
        <v>1</v>
      </c>
      <c r="N50" s="8">
        <v>1</v>
      </c>
      <c r="O50" s="10" t="s">
        <v>83</v>
      </c>
      <c r="P50" s="10" t="s">
        <v>273</v>
      </c>
      <c r="Q50" s="9"/>
      <c r="R50" s="13" t="s">
        <v>379</v>
      </c>
      <c r="S50" s="9" t="s">
        <v>380</v>
      </c>
      <c r="T50" s="14">
        <v>0</v>
      </c>
      <c r="U50" s="14">
        <f t="shared" si="0"/>
        <v>2.542</v>
      </c>
      <c r="V50" s="14">
        <f t="shared" si="1"/>
        <v>2.9</v>
      </c>
      <c r="W50" s="15">
        <f t="shared" si="2"/>
        <v>0.358</v>
      </c>
    </row>
    <row r="51" spans="1:23">
      <c r="A51" s="8">
        <v>3</v>
      </c>
      <c r="B51" s="8" t="s">
        <v>381</v>
      </c>
      <c r="C51" s="10" t="s">
        <v>382</v>
      </c>
      <c r="D51" s="8" t="s">
        <v>31</v>
      </c>
      <c r="E51" s="8" t="s">
        <v>7</v>
      </c>
      <c r="F51" s="8" t="s">
        <v>5</v>
      </c>
      <c r="G51" s="8" t="s">
        <v>164</v>
      </c>
      <c r="H51" s="8" t="s">
        <v>254</v>
      </c>
      <c r="I51" s="8">
        <v>2</v>
      </c>
      <c r="J51" s="8">
        <v>1</v>
      </c>
      <c r="K51" s="8">
        <v>1</v>
      </c>
      <c r="L51" s="8">
        <v>2</v>
      </c>
      <c r="M51" s="8">
        <v>3</v>
      </c>
      <c r="N51" s="8">
        <v>1</v>
      </c>
      <c r="O51" s="10"/>
      <c r="P51" s="10"/>
      <c r="Q51" s="9"/>
      <c r="R51" s="13" t="s">
        <v>383</v>
      </c>
      <c r="S51" s="9" t="s">
        <v>384</v>
      </c>
      <c r="T51" s="14">
        <v>0</v>
      </c>
      <c r="U51" s="14">
        <f t="shared" si="0"/>
        <v>5.167</v>
      </c>
      <c r="V51" s="14">
        <f t="shared" si="1"/>
        <v>4.9</v>
      </c>
      <c r="W51" s="15">
        <f t="shared" si="2"/>
        <v>-0.267</v>
      </c>
    </row>
    <row r="52" spans="1:23">
      <c r="A52" s="8">
        <v>4</v>
      </c>
      <c r="B52" s="8" t="s">
        <v>385</v>
      </c>
      <c r="C52" s="10" t="s">
        <v>386</v>
      </c>
      <c r="D52" s="8" t="s">
        <v>31</v>
      </c>
      <c r="E52" s="8" t="s">
        <v>7</v>
      </c>
      <c r="F52" s="8" t="s">
        <v>5</v>
      </c>
      <c r="G52" s="8" t="s">
        <v>164</v>
      </c>
      <c r="H52" s="8" t="s">
        <v>254</v>
      </c>
      <c r="I52" s="8">
        <v>3</v>
      </c>
      <c r="J52" s="8">
        <v>1</v>
      </c>
      <c r="K52" s="8">
        <v>1</v>
      </c>
      <c r="L52" s="8">
        <v>3</v>
      </c>
      <c r="M52" s="8">
        <v>5</v>
      </c>
      <c r="N52" s="8">
        <v>1</v>
      </c>
      <c r="O52" s="10"/>
      <c r="P52" s="10"/>
      <c r="Q52" s="9"/>
      <c r="R52" s="13" t="s">
        <v>387</v>
      </c>
      <c r="S52" s="9" t="s">
        <v>388</v>
      </c>
      <c r="T52" s="14">
        <v>0</v>
      </c>
      <c r="U52" s="14">
        <f t="shared" si="0"/>
        <v>7.542</v>
      </c>
      <c r="V52" s="14">
        <f t="shared" si="1"/>
        <v>7.8</v>
      </c>
      <c r="W52" s="15">
        <f t="shared" si="2"/>
        <v>0.258</v>
      </c>
    </row>
    <row r="53" ht="24" spans="1:23">
      <c r="A53" s="8">
        <v>5</v>
      </c>
      <c r="B53" s="8" t="s">
        <v>389</v>
      </c>
      <c r="C53" s="10" t="s">
        <v>390</v>
      </c>
      <c r="D53" s="8" t="s">
        <v>31</v>
      </c>
      <c r="E53" s="8" t="s">
        <v>7</v>
      </c>
      <c r="F53" s="8" t="s">
        <v>5</v>
      </c>
      <c r="G53" s="8" t="s">
        <v>167</v>
      </c>
      <c r="H53" s="8" t="s">
        <v>267</v>
      </c>
      <c r="I53" s="8">
        <v>3</v>
      </c>
      <c r="J53" s="8">
        <v>2</v>
      </c>
      <c r="K53" s="8">
        <v>1</v>
      </c>
      <c r="L53" s="8">
        <v>3</v>
      </c>
      <c r="M53" s="8">
        <v>4</v>
      </c>
      <c r="N53" s="8">
        <v>2</v>
      </c>
      <c r="O53" s="10"/>
      <c r="P53" s="10"/>
      <c r="Q53" s="9" t="s">
        <v>268</v>
      </c>
      <c r="R53" s="13" t="s">
        <v>391</v>
      </c>
      <c r="S53" s="9" t="s">
        <v>392</v>
      </c>
      <c r="T53" s="14">
        <v>1.5</v>
      </c>
      <c r="U53" s="14">
        <f t="shared" si="0"/>
        <v>8.208</v>
      </c>
      <c r="V53" s="14">
        <f t="shared" si="1"/>
        <v>8.5</v>
      </c>
      <c r="W53" s="15">
        <f t="shared" si="2"/>
        <v>0.292</v>
      </c>
    </row>
    <row r="54" spans="1:23">
      <c r="A54" s="8">
        <v>6</v>
      </c>
      <c r="B54" s="8" t="s">
        <v>393</v>
      </c>
      <c r="C54" s="10" t="s">
        <v>394</v>
      </c>
      <c r="D54" s="8" t="s">
        <v>31</v>
      </c>
      <c r="E54" s="8" t="s">
        <v>7</v>
      </c>
      <c r="F54" s="8" t="s">
        <v>5</v>
      </c>
      <c r="G54" s="8" t="s">
        <v>165</v>
      </c>
      <c r="H54" s="8" t="s">
        <v>254</v>
      </c>
      <c r="I54" s="8">
        <v>3</v>
      </c>
      <c r="J54" s="8">
        <v>2</v>
      </c>
      <c r="K54" s="8">
        <v>2</v>
      </c>
      <c r="L54" s="8">
        <v>3</v>
      </c>
      <c r="M54" s="8">
        <v>4</v>
      </c>
      <c r="N54" s="8">
        <v>1</v>
      </c>
      <c r="O54" s="10" t="s">
        <v>294</v>
      </c>
      <c r="P54" s="10" t="s">
        <v>295</v>
      </c>
      <c r="Q54" s="9"/>
      <c r="R54" s="13" t="s">
        <v>395</v>
      </c>
      <c r="S54" s="9" t="s">
        <v>396</v>
      </c>
      <c r="T54" s="14">
        <v>1</v>
      </c>
      <c r="U54" s="14">
        <f t="shared" si="0"/>
        <v>8.208</v>
      </c>
      <c r="V54" s="14">
        <f t="shared" si="1"/>
        <v>8.1</v>
      </c>
      <c r="W54" s="15">
        <f t="shared" si="2"/>
        <v>-0.108</v>
      </c>
    </row>
    <row r="55" spans="1:23">
      <c r="A55" s="8">
        <v>7</v>
      </c>
      <c r="B55" s="8" t="s">
        <v>397</v>
      </c>
      <c r="C55" s="10" t="s">
        <v>398</v>
      </c>
      <c r="D55" s="8" t="s">
        <v>31</v>
      </c>
      <c r="E55" s="8" t="s">
        <v>7</v>
      </c>
      <c r="F55" s="8" t="s">
        <v>6</v>
      </c>
      <c r="G55" s="8" t="s">
        <v>224</v>
      </c>
      <c r="H55" s="8" t="s">
        <v>224</v>
      </c>
      <c r="I55" s="8">
        <v>1</v>
      </c>
      <c r="J55" s="8">
        <v>0</v>
      </c>
      <c r="K55" s="8"/>
      <c r="L55" s="8"/>
      <c r="M55" s="8"/>
      <c r="N55" s="8"/>
      <c r="O55" s="10"/>
      <c r="P55" s="10"/>
      <c r="Q55" s="9" t="s">
        <v>278</v>
      </c>
      <c r="R55" s="13" t="s">
        <v>399</v>
      </c>
      <c r="S55" s="9" t="s">
        <v>396</v>
      </c>
      <c r="T55" s="14">
        <v>1</v>
      </c>
      <c r="U55" s="14">
        <f t="shared" si="0"/>
        <v>1.875</v>
      </c>
      <c r="V55" s="14">
        <f t="shared" si="1"/>
        <v>1</v>
      </c>
      <c r="W55" s="15">
        <f t="shared" si="2"/>
        <v>-0.875</v>
      </c>
    </row>
    <row r="56" spans="1:23">
      <c r="A56" s="8">
        <v>8</v>
      </c>
      <c r="B56" s="8" t="s">
        <v>400</v>
      </c>
      <c r="C56" s="10" t="s">
        <v>401</v>
      </c>
      <c r="D56" s="8" t="s">
        <v>31</v>
      </c>
      <c r="E56" s="8" t="s">
        <v>7</v>
      </c>
      <c r="F56" s="8" t="s">
        <v>6</v>
      </c>
      <c r="G56" s="8" t="s">
        <v>224</v>
      </c>
      <c r="H56" s="8" t="s">
        <v>224</v>
      </c>
      <c r="I56" s="8">
        <v>3</v>
      </c>
      <c r="J56" s="8">
        <v>0</v>
      </c>
      <c r="K56" s="8"/>
      <c r="L56" s="8"/>
      <c r="M56" s="8"/>
      <c r="N56" s="8"/>
      <c r="O56" s="10"/>
      <c r="P56" s="10"/>
      <c r="Q56" s="9" t="s">
        <v>402</v>
      </c>
      <c r="R56" s="13" t="s">
        <v>403</v>
      </c>
      <c r="S56" s="9" t="s">
        <v>404</v>
      </c>
      <c r="T56" s="14">
        <v>3</v>
      </c>
      <c r="U56" s="14">
        <f t="shared" si="0"/>
        <v>6.875</v>
      </c>
      <c r="V56" s="14">
        <f t="shared" si="1"/>
        <v>3</v>
      </c>
      <c r="W56" s="15">
        <f t="shared" si="2"/>
        <v>-3.875</v>
      </c>
    </row>
    <row r="57" spans="1:23">
      <c r="A57" s="8">
        <v>9</v>
      </c>
      <c r="B57" s="8" t="s">
        <v>405</v>
      </c>
      <c r="C57" s="10" t="s">
        <v>406</v>
      </c>
      <c r="D57" s="8" t="s">
        <v>31</v>
      </c>
      <c r="E57" s="8" t="s">
        <v>8</v>
      </c>
      <c r="F57" s="8" t="s">
        <v>5</v>
      </c>
      <c r="G57" s="8" t="s">
        <v>165</v>
      </c>
      <c r="H57" s="8" t="s">
        <v>249</v>
      </c>
      <c r="I57" s="8">
        <v>3</v>
      </c>
      <c r="J57" s="8">
        <v>1</v>
      </c>
      <c r="K57" s="8">
        <v>2</v>
      </c>
      <c r="L57" s="8">
        <v>3</v>
      </c>
      <c r="M57" s="8">
        <v>4</v>
      </c>
      <c r="N57" s="8">
        <v>1</v>
      </c>
      <c r="O57" s="10" t="s">
        <v>288</v>
      </c>
      <c r="P57" s="10" t="s">
        <v>289</v>
      </c>
      <c r="Q57" s="9"/>
      <c r="R57" s="13" t="s">
        <v>407</v>
      </c>
      <c r="S57" s="9" t="s">
        <v>408</v>
      </c>
      <c r="T57" s="14">
        <v>0.5</v>
      </c>
      <c r="U57" s="14">
        <f t="shared" si="0"/>
        <v>7.542</v>
      </c>
      <c r="V57" s="14">
        <f t="shared" si="1"/>
        <v>7.6</v>
      </c>
      <c r="W57" s="15">
        <f t="shared" si="2"/>
        <v>0.058</v>
      </c>
    </row>
    <row r="58" ht="24" spans="1:23">
      <c r="A58" s="8">
        <v>10</v>
      </c>
      <c r="B58" s="8" t="s">
        <v>409</v>
      </c>
      <c r="C58" s="10" t="s">
        <v>410</v>
      </c>
      <c r="D58" s="8" t="s">
        <v>31</v>
      </c>
      <c r="E58" s="8" t="s">
        <v>8</v>
      </c>
      <c r="F58" s="8" t="s">
        <v>5</v>
      </c>
      <c r="G58" s="8" t="s">
        <v>166</v>
      </c>
      <c r="H58" s="8" t="s">
        <v>254</v>
      </c>
      <c r="I58" s="8">
        <v>3</v>
      </c>
      <c r="J58" s="8">
        <v>1</v>
      </c>
      <c r="K58" s="8">
        <v>1</v>
      </c>
      <c r="L58" s="8">
        <v>4</v>
      </c>
      <c r="M58" s="8">
        <v>3</v>
      </c>
      <c r="N58" s="8">
        <v>2</v>
      </c>
      <c r="O58" s="10"/>
      <c r="P58" s="10"/>
      <c r="Q58" s="9"/>
      <c r="R58" s="13" t="s">
        <v>411</v>
      </c>
      <c r="S58" s="9" t="s">
        <v>412</v>
      </c>
      <c r="T58" s="14">
        <v>0</v>
      </c>
      <c r="U58" s="14">
        <f t="shared" si="0"/>
        <v>7.542</v>
      </c>
      <c r="V58" s="14">
        <f t="shared" si="1"/>
        <v>7.2</v>
      </c>
      <c r="W58" s="15">
        <f t="shared" si="2"/>
        <v>-0.342</v>
      </c>
    </row>
    <row r="59" ht="24" spans="1:23">
      <c r="A59" s="8">
        <v>11</v>
      </c>
      <c r="B59" s="8" t="s">
        <v>413</v>
      </c>
      <c r="C59" s="10" t="s">
        <v>414</v>
      </c>
      <c r="D59" s="8" t="s">
        <v>31</v>
      </c>
      <c r="E59" s="8" t="s">
        <v>8</v>
      </c>
      <c r="F59" s="8" t="s">
        <v>5</v>
      </c>
      <c r="G59" s="8" t="s">
        <v>164</v>
      </c>
      <c r="H59" s="8" t="s">
        <v>254</v>
      </c>
      <c r="I59" s="8">
        <v>3</v>
      </c>
      <c r="J59" s="8">
        <v>1</v>
      </c>
      <c r="K59" s="8">
        <v>1</v>
      </c>
      <c r="L59" s="8">
        <v>4</v>
      </c>
      <c r="M59" s="8">
        <v>2</v>
      </c>
      <c r="N59" s="8">
        <v>1</v>
      </c>
      <c r="O59" s="10" t="s">
        <v>88</v>
      </c>
      <c r="P59" s="10" t="s">
        <v>415</v>
      </c>
      <c r="Q59" s="9"/>
      <c r="R59" s="13" t="s">
        <v>416</v>
      </c>
      <c r="S59" s="9" t="s">
        <v>417</v>
      </c>
      <c r="T59" s="14">
        <v>1</v>
      </c>
      <c r="U59" s="14">
        <f t="shared" si="0"/>
        <v>7.542</v>
      </c>
      <c r="V59" s="14">
        <f t="shared" si="1"/>
        <v>7.2</v>
      </c>
      <c r="W59" s="15">
        <f t="shared" si="2"/>
        <v>-0.342</v>
      </c>
    </row>
    <row r="60" spans="1:23">
      <c r="A60" s="8">
        <v>12</v>
      </c>
      <c r="B60" s="8" t="s">
        <v>418</v>
      </c>
      <c r="C60" s="10" t="s">
        <v>419</v>
      </c>
      <c r="D60" s="8" t="s">
        <v>31</v>
      </c>
      <c r="E60" s="8" t="s">
        <v>8</v>
      </c>
      <c r="F60" s="8" t="s">
        <v>5</v>
      </c>
      <c r="G60" s="8" t="s">
        <v>164</v>
      </c>
      <c r="H60" s="8" t="s">
        <v>267</v>
      </c>
      <c r="I60" s="8">
        <v>4</v>
      </c>
      <c r="J60" s="8">
        <v>2</v>
      </c>
      <c r="K60" s="8">
        <v>1</v>
      </c>
      <c r="L60" s="8">
        <v>5</v>
      </c>
      <c r="M60" s="8">
        <v>4</v>
      </c>
      <c r="N60" s="8">
        <v>1</v>
      </c>
      <c r="O60" s="10" t="s">
        <v>113</v>
      </c>
      <c r="P60" s="10" t="s">
        <v>304</v>
      </c>
      <c r="Q60" s="9"/>
      <c r="R60" s="13" t="s">
        <v>420</v>
      </c>
      <c r="S60" s="9" t="s">
        <v>396</v>
      </c>
      <c r="T60" s="14">
        <v>1</v>
      </c>
      <c r="U60" s="14">
        <f t="shared" si="0"/>
        <v>10.333</v>
      </c>
      <c r="V60" s="14">
        <f t="shared" si="1"/>
        <v>10.1</v>
      </c>
      <c r="W60" s="15">
        <f t="shared" si="2"/>
        <v>-0.233</v>
      </c>
    </row>
    <row r="61" ht="24" spans="1:23">
      <c r="A61" s="8">
        <v>13</v>
      </c>
      <c r="B61" s="8" t="s">
        <v>421</v>
      </c>
      <c r="C61" s="10" t="s">
        <v>422</v>
      </c>
      <c r="D61" s="8" t="s">
        <v>31</v>
      </c>
      <c r="E61" s="8" t="s">
        <v>8</v>
      </c>
      <c r="F61" s="8" t="s">
        <v>5</v>
      </c>
      <c r="G61" s="8" t="s">
        <v>164</v>
      </c>
      <c r="H61" s="8" t="s">
        <v>254</v>
      </c>
      <c r="I61" s="8">
        <v>4</v>
      </c>
      <c r="J61" s="8">
        <v>1</v>
      </c>
      <c r="K61" s="8">
        <v>1</v>
      </c>
      <c r="L61" s="8">
        <v>4</v>
      </c>
      <c r="M61" s="8">
        <v>4</v>
      </c>
      <c r="N61" s="8">
        <v>1</v>
      </c>
      <c r="O61" s="10" t="s">
        <v>91</v>
      </c>
      <c r="P61" s="10" t="s">
        <v>309</v>
      </c>
      <c r="Q61" s="9"/>
      <c r="R61" s="13" t="s">
        <v>423</v>
      </c>
      <c r="S61" s="9" t="s">
        <v>424</v>
      </c>
      <c r="T61" s="14">
        <v>1.5</v>
      </c>
      <c r="U61" s="14">
        <f t="shared" si="0"/>
        <v>9.667</v>
      </c>
      <c r="V61" s="14">
        <f t="shared" si="1"/>
        <v>9.5</v>
      </c>
      <c r="W61" s="15">
        <f t="shared" si="2"/>
        <v>-0.167</v>
      </c>
    </row>
    <row r="62" spans="1:23">
      <c r="A62" s="8">
        <v>14</v>
      </c>
      <c r="B62" s="8" t="s">
        <v>425</v>
      </c>
      <c r="C62" s="10" t="s">
        <v>426</v>
      </c>
      <c r="D62" s="8" t="s">
        <v>31</v>
      </c>
      <c r="E62" s="8" t="s">
        <v>8</v>
      </c>
      <c r="F62" s="8" t="s">
        <v>5</v>
      </c>
      <c r="G62" s="8" t="s">
        <v>165</v>
      </c>
      <c r="H62" s="8" t="s">
        <v>249</v>
      </c>
      <c r="I62" s="8">
        <v>4</v>
      </c>
      <c r="J62" s="8">
        <v>1</v>
      </c>
      <c r="K62" s="8">
        <v>2</v>
      </c>
      <c r="L62" s="8">
        <v>5</v>
      </c>
      <c r="M62" s="8">
        <v>5</v>
      </c>
      <c r="N62" s="8">
        <v>1</v>
      </c>
      <c r="O62" s="10" t="s">
        <v>83</v>
      </c>
      <c r="P62" s="10" t="s">
        <v>273</v>
      </c>
      <c r="Q62" s="9"/>
      <c r="R62" s="13" t="s">
        <v>427</v>
      </c>
      <c r="S62" s="9" t="s">
        <v>376</v>
      </c>
      <c r="T62" s="14">
        <v>0</v>
      </c>
      <c r="U62" s="14">
        <f t="shared" si="0"/>
        <v>9.667</v>
      </c>
      <c r="V62" s="14">
        <f t="shared" si="1"/>
        <v>10</v>
      </c>
      <c r="W62" s="15">
        <f t="shared" si="2"/>
        <v>0.333</v>
      </c>
    </row>
    <row r="63" spans="1:23">
      <c r="A63" s="8">
        <v>15</v>
      </c>
      <c r="B63" s="8" t="s">
        <v>428</v>
      </c>
      <c r="C63" s="10" t="s">
        <v>429</v>
      </c>
      <c r="D63" s="8" t="s">
        <v>31</v>
      </c>
      <c r="E63" s="8" t="s">
        <v>8</v>
      </c>
      <c r="F63" s="8" t="s">
        <v>6</v>
      </c>
      <c r="G63" s="8" t="s">
        <v>224</v>
      </c>
      <c r="H63" s="8" t="s">
        <v>224</v>
      </c>
      <c r="I63" s="8">
        <v>4</v>
      </c>
      <c r="J63" s="8">
        <v>0</v>
      </c>
      <c r="K63" s="8"/>
      <c r="L63" s="8"/>
      <c r="M63" s="8"/>
      <c r="N63" s="8"/>
      <c r="O63" s="10"/>
      <c r="P63" s="10"/>
      <c r="Q63" s="9" t="s">
        <v>318</v>
      </c>
      <c r="R63" s="13" t="s">
        <v>430</v>
      </c>
      <c r="S63" s="9" t="s">
        <v>431</v>
      </c>
      <c r="T63" s="14">
        <v>4</v>
      </c>
      <c r="U63" s="14">
        <f t="shared" si="0"/>
        <v>9</v>
      </c>
      <c r="V63" s="14">
        <f t="shared" si="1"/>
        <v>4</v>
      </c>
      <c r="W63" s="15">
        <f t="shared" si="2"/>
        <v>-5</v>
      </c>
    </row>
    <row r="64" spans="1:23">
      <c r="A64" s="8">
        <v>16</v>
      </c>
      <c r="B64" s="8" t="s">
        <v>432</v>
      </c>
      <c r="C64" s="10" t="s">
        <v>433</v>
      </c>
      <c r="D64" s="8" t="s">
        <v>31</v>
      </c>
      <c r="E64" s="8" t="s">
        <v>8</v>
      </c>
      <c r="F64" s="8" t="s">
        <v>6</v>
      </c>
      <c r="G64" s="8" t="s">
        <v>224</v>
      </c>
      <c r="H64" s="8" t="s">
        <v>224</v>
      </c>
      <c r="I64" s="8">
        <v>2</v>
      </c>
      <c r="J64" s="8">
        <v>0</v>
      </c>
      <c r="K64" s="8"/>
      <c r="L64" s="8"/>
      <c r="M64" s="8"/>
      <c r="N64" s="8"/>
      <c r="O64" s="10"/>
      <c r="P64" s="10"/>
      <c r="Q64" s="9" t="s">
        <v>334</v>
      </c>
      <c r="R64" s="13" t="s">
        <v>434</v>
      </c>
      <c r="S64" s="9" t="s">
        <v>435</v>
      </c>
      <c r="T64" s="14">
        <v>2</v>
      </c>
      <c r="U64" s="14">
        <f t="shared" si="0"/>
        <v>4.5</v>
      </c>
      <c r="V64" s="14">
        <f t="shared" si="1"/>
        <v>2</v>
      </c>
      <c r="W64" s="15">
        <f t="shared" si="2"/>
        <v>-2.5</v>
      </c>
    </row>
    <row r="65" ht="24" spans="1:23">
      <c r="A65" s="8">
        <v>17</v>
      </c>
      <c r="B65" s="8" t="s">
        <v>436</v>
      </c>
      <c r="C65" s="10" t="s">
        <v>437</v>
      </c>
      <c r="D65" s="8" t="s">
        <v>31</v>
      </c>
      <c r="E65" s="8" t="s">
        <v>328</v>
      </c>
      <c r="F65" s="8" t="s">
        <v>5</v>
      </c>
      <c r="G65" s="8" t="s">
        <v>166</v>
      </c>
      <c r="H65" s="8" t="s">
        <v>249</v>
      </c>
      <c r="I65" s="8">
        <v>3</v>
      </c>
      <c r="J65" s="8">
        <v>1</v>
      </c>
      <c r="K65" s="8">
        <v>2</v>
      </c>
      <c r="L65" s="8">
        <v>4</v>
      </c>
      <c r="M65" s="8">
        <v>2</v>
      </c>
      <c r="N65" s="8">
        <v>2</v>
      </c>
      <c r="O65" s="10" t="s">
        <v>93</v>
      </c>
      <c r="P65" s="10" t="s">
        <v>329</v>
      </c>
      <c r="Q65" s="9"/>
      <c r="R65" s="13" t="s">
        <v>438</v>
      </c>
      <c r="S65" s="9" t="s">
        <v>439</v>
      </c>
      <c r="T65" s="14">
        <v>1</v>
      </c>
      <c r="U65" s="14">
        <f t="shared" si="0"/>
        <v>7.542</v>
      </c>
      <c r="V65" s="14">
        <f t="shared" si="1"/>
        <v>7.4</v>
      </c>
      <c r="W65" s="15">
        <f t="shared" si="2"/>
        <v>-0.142</v>
      </c>
    </row>
    <row r="66" ht="24" spans="1:23">
      <c r="A66" s="8">
        <v>18</v>
      </c>
      <c r="B66" s="8" t="s">
        <v>440</v>
      </c>
      <c r="C66" s="10" t="s">
        <v>441</v>
      </c>
      <c r="D66" s="8" t="s">
        <v>31</v>
      </c>
      <c r="E66" s="8" t="s">
        <v>328</v>
      </c>
      <c r="F66" s="8" t="s">
        <v>6</v>
      </c>
      <c r="G66" s="8" t="s">
        <v>224</v>
      </c>
      <c r="H66" s="8" t="s">
        <v>224</v>
      </c>
      <c r="I66" s="8">
        <v>4</v>
      </c>
      <c r="J66" s="8">
        <v>0</v>
      </c>
      <c r="K66" s="8"/>
      <c r="L66" s="8"/>
      <c r="M66" s="8"/>
      <c r="N66" s="8"/>
      <c r="O66" s="10"/>
      <c r="P66" s="10"/>
      <c r="Q66" s="9" t="s">
        <v>442</v>
      </c>
      <c r="R66" s="13" t="s">
        <v>443</v>
      </c>
      <c r="S66" s="9" t="s">
        <v>444</v>
      </c>
      <c r="T66" s="14">
        <v>4</v>
      </c>
      <c r="U66" s="14">
        <f t="shared" si="0"/>
        <v>9</v>
      </c>
      <c r="V66" s="14">
        <f t="shared" si="1"/>
        <v>4</v>
      </c>
      <c r="W66" s="15">
        <f t="shared" si="2"/>
        <v>-5</v>
      </c>
    </row>
    <row r="67" spans="1:23">
      <c r="A67" s="8">
        <v>19</v>
      </c>
      <c r="B67" s="8" t="s">
        <v>445</v>
      </c>
      <c r="C67" s="10" t="s">
        <v>446</v>
      </c>
      <c r="D67" s="8" t="s">
        <v>31</v>
      </c>
      <c r="E67" s="8" t="s">
        <v>328</v>
      </c>
      <c r="F67" s="8" t="s">
        <v>5</v>
      </c>
      <c r="G67" s="8" t="s">
        <v>164</v>
      </c>
      <c r="H67" s="8" t="s">
        <v>267</v>
      </c>
      <c r="I67" s="8">
        <v>5</v>
      </c>
      <c r="J67" s="8">
        <v>2</v>
      </c>
      <c r="K67" s="8">
        <v>1</v>
      </c>
      <c r="L67" s="8">
        <v>4</v>
      </c>
      <c r="M67" s="8">
        <v>5</v>
      </c>
      <c r="N67" s="8">
        <v>1</v>
      </c>
      <c r="O67" s="10" t="s">
        <v>447</v>
      </c>
      <c r="P67" s="10" t="s">
        <v>340</v>
      </c>
      <c r="Q67" s="9"/>
      <c r="R67" s="13" t="s">
        <v>448</v>
      </c>
      <c r="S67" s="9" t="s">
        <v>449</v>
      </c>
      <c r="T67" s="14">
        <v>3.5</v>
      </c>
      <c r="U67" s="14">
        <f t="shared" si="0"/>
        <v>12.208</v>
      </c>
      <c r="V67" s="14">
        <f t="shared" si="1"/>
        <v>12.4</v>
      </c>
      <c r="W67" s="15">
        <f t="shared" si="2"/>
        <v>0.192</v>
      </c>
    </row>
    <row r="68" ht="24" spans="1:23">
      <c r="A68" s="8">
        <v>20</v>
      </c>
      <c r="B68" s="8" t="s">
        <v>450</v>
      </c>
      <c r="C68" s="10" t="s">
        <v>451</v>
      </c>
      <c r="D68" s="8" t="s">
        <v>31</v>
      </c>
      <c r="E68" s="8" t="s">
        <v>328</v>
      </c>
      <c r="F68" s="8" t="s">
        <v>5</v>
      </c>
      <c r="G68" s="8" t="s">
        <v>165</v>
      </c>
      <c r="H68" s="8" t="s">
        <v>249</v>
      </c>
      <c r="I68" s="8">
        <v>5</v>
      </c>
      <c r="J68" s="8">
        <v>1</v>
      </c>
      <c r="K68" s="8">
        <v>2</v>
      </c>
      <c r="L68" s="8">
        <v>5</v>
      </c>
      <c r="M68" s="8">
        <v>6</v>
      </c>
      <c r="N68" s="8">
        <v>1</v>
      </c>
      <c r="O68" s="10" t="s">
        <v>288</v>
      </c>
      <c r="P68" s="10" t="s">
        <v>289</v>
      </c>
      <c r="Q68" s="9"/>
      <c r="R68" s="13" t="s">
        <v>452</v>
      </c>
      <c r="S68" s="9" t="s">
        <v>453</v>
      </c>
      <c r="T68" s="14">
        <v>0.5</v>
      </c>
      <c r="U68" s="14">
        <f t="shared" si="0"/>
        <v>11.542</v>
      </c>
      <c r="V68" s="14">
        <f t="shared" si="1"/>
        <v>11.6</v>
      </c>
      <c r="W68" s="15">
        <f t="shared" si="2"/>
        <v>0.058</v>
      </c>
    </row>
    <row r="69" ht="24" spans="1:23">
      <c r="A69" s="8">
        <v>21</v>
      </c>
      <c r="B69" s="8" t="s">
        <v>454</v>
      </c>
      <c r="C69" s="10" t="s">
        <v>455</v>
      </c>
      <c r="D69" s="8" t="s">
        <v>31</v>
      </c>
      <c r="E69" s="8" t="s">
        <v>328</v>
      </c>
      <c r="F69" s="8" t="s">
        <v>6</v>
      </c>
      <c r="G69" s="8" t="s">
        <v>224</v>
      </c>
      <c r="H69" s="8" t="s">
        <v>224</v>
      </c>
      <c r="I69" s="8">
        <v>5</v>
      </c>
      <c r="J69" s="8">
        <v>0</v>
      </c>
      <c r="K69" s="8"/>
      <c r="L69" s="8"/>
      <c r="M69" s="8"/>
      <c r="N69" s="8"/>
      <c r="O69" s="10"/>
      <c r="P69" s="10"/>
      <c r="Q69" s="9" t="s">
        <v>456</v>
      </c>
      <c r="R69" s="13" t="s">
        <v>457</v>
      </c>
      <c r="S69" s="9" t="s">
        <v>458</v>
      </c>
      <c r="T69" s="14">
        <v>5</v>
      </c>
      <c r="U69" s="14">
        <f t="shared" si="0"/>
        <v>10.875</v>
      </c>
      <c r="V69" s="14">
        <f t="shared" si="1"/>
        <v>5</v>
      </c>
      <c r="W69" s="15">
        <f t="shared" si="2"/>
        <v>-5.875</v>
      </c>
    </row>
    <row r="70" ht="24" spans="1:23">
      <c r="A70" s="8">
        <v>22</v>
      </c>
      <c r="B70" s="8" t="s">
        <v>459</v>
      </c>
      <c r="C70" s="10" t="s">
        <v>460</v>
      </c>
      <c r="D70" s="8" t="s">
        <v>31</v>
      </c>
      <c r="E70" s="8" t="s">
        <v>352</v>
      </c>
      <c r="F70" s="8" t="s">
        <v>5</v>
      </c>
      <c r="G70" s="8" t="s">
        <v>165</v>
      </c>
      <c r="H70" s="8" t="s">
        <v>267</v>
      </c>
      <c r="I70" s="8">
        <v>6</v>
      </c>
      <c r="J70" s="8">
        <v>2</v>
      </c>
      <c r="K70" s="8">
        <v>2</v>
      </c>
      <c r="L70" s="8">
        <v>6</v>
      </c>
      <c r="M70" s="8">
        <v>6</v>
      </c>
      <c r="N70" s="8">
        <v>1</v>
      </c>
      <c r="O70" s="10" t="s">
        <v>353</v>
      </c>
      <c r="P70" s="10" t="s">
        <v>354</v>
      </c>
      <c r="Q70" s="9"/>
      <c r="R70" s="13" t="s">
        <v>461</v>
      </c>
      <c r="S70" s="9" t="s">
        <v>462</v>
      </c>
      <c r="T70" s="14">
        <v>1.5</v>
      </c>
      <c r="U70" s="14">
        <f t="shared" si="0"/>
        <v>13.833</v>
      </c>
      <c r="V70" s="14">
        <f t="shared" si="1"/>
        <v>13.5</v>
      </c>
      <c r="W70" s="15">
        <f t="shared" si="2"/>
        <v>-0.333</v>
      </c>
    </row>
    <row r="71" spans="1:23">
      <c r="A71" s="8">
        <v>23</v>
      </c>
      <c r="B71" s="8" t="s">
        <v>463</v>
      </c>
      <c r="C71" s="10" t="s">
        <v>464</v>
      </c>
      <c r="D71" s="8" t="s">
        <v>31</v>
      </c>
      <c r="E71" s="8" t="s">
        <v>352</v>
      </c>
      <c r="F71" s="8" t="s">
        <v>5</v>
      </c>
      <c r="G71" s="8" t="s">
        <v>164</v>
      </c>
      <c r="H71" s="8" t="s">
        <v>267</v>
      </c>
      <c r="I71" s="8">
        <v>6</v>
      </c>
      <c r="J71" s="8">
        <v>2</v>
      </c>
      <c r="K71" s="8">
        <v>1</v>
      </c>
      <c r="L71" s="8">
        <v>6</v>
      </c>
      <c r="M71" s="8">
        <v>4</v>
      </c>
      <c r="N71" s="8">
        <v>1</v>
      </c>
      <c r="O71" s="10" t="s">
        <v>447</v>
      </c>
      <c r="P71" s="10" t="s">
        <v>340</v>
      </c>
      <c r="Q71" s="9"/>
      <c r="R71" s="13" t="s">
        <v>465</v>
      </c>
      <c r="S71" s="9" t="s">
        <v>396</v>
      </c>
      <c r="T71" s="14">
        <v>3.5</v>
      </c>
      <c r="U71" s="14">
        <f t="shared" si="0"/>
        <v>13.833</v>
      </c>
      <c r="V71" s="14">
        <f t="shared" si="1"/>
        <v>13.7</v>
      </c>
      <c r="W71" s="15">
        <f t="shared" si="2"/>
        <v>-0.133</v>
      </c>
    </row>
    <row r="72" spans="1:23">
      <c r="A72" s="8">
        <v>24</v>
      </c>
      <c r="B72" s="8" t="s">
        <v>466</v>
      </c>
      <c r="C72" s="10" t="s">
        <v>467</v>
      </c>
      <c r="D72" s="8" t="s">
        <v>31</v>
      </c>
      <c r="E72" s="8" t="s">
        <v>352</v>
      </c>
      <c r="F72" s="8" t="s">
        <v>5</v>
      </c>
      <c r="G72" s="8" t="s">
        <v>166</v>
      </c>
      <c r="H72" s="8" t="s">
        <v>267</v>
      </c>
      <c r="I72" s="8">
        <v>6</v>
      </c>
      <c r="J72" s="8">
        <v>2</v>
      </c>
      <c r="K72" s="8">
        <v>1</v>
      </c>
      <c r="L72" s="8">
        <v>7</v>
      </c>
      <c r="M72" s="8">
        <v>6</v>
      </c>
      <c r="N72" s="8">
        <v>2</v>
      </c>
      <c r="O72" s="10" t="s">
        <v>182</v>
      </c>
      <c r="P72" s="10"/>
      <c r="Q72" s="9"/>
      <c r="R72" s="13" t="s">
        <v>468</v>
      </c>
      <c r="S72" s="9" t="s">
        <v>469</v>
      </c>
      <c r="T72" s="14">
        <v>0.5</v>
      </c>
      <c r="U72" s="14">
        <f t="shared" si="0"/>
        <v>13.833</v>
      </c>
      <c r="V72" s="14">
        <f t="shared" si="1"/>
        <v>13.7</v>
      </c>
      <c r="W72" s="15">
        <f t="shared" si="2"/>
        <v>-0.133</v>
      </c>
    </row>
    <row r="74" customHeight="1" spans="1:23">
      <c r="A74" s="3" t="s">
        <v>363</v>
      </c>
    </row>
    <row r="75" customHeight="1" spans="1:23">
      <c r="A75" s="3" t="s">
        <v>364</v>
      </c>
    </row>
    <row r="76" customHeight="1" spans="1:23">
      <c r="A76" s="3" t="s">
        <v>365</v>
      </c>
    </row>
    <row r="77" customHeight="1" spans="1:23">
      <c r="A77" s="3" t="s">
        <v>366</v>
      </c>
    </row>
    <row r="78" customHeight="1" spans="1:23">
      <c r="A78" s="3" t="s">
        <v>367</v>
      </c>
    </row>
    <row r="79" customHeight="1" spans="1:23">
      <c r="A79" s="3" t="s">
        <v>368</v>
      </c>
    </row>
    <row r="80" customHeight="1" spans="1:23">
      <c r="A80" s="3" t="s">
        <v>369</v>
      </c>
    </row>
    <row r="81" customHeight="1" spans="1:1">
      <c r="A81" s="3" t="s">
        <v>370</v>
      </c>
    </row>
  </sheetData>
  <mergeCells count="13">
    <mergeCell ref="A1:W1"/>
    <mergeCell ref="A2:W2"/>
    <mergeCell ref="A4:W4"/>
    <mergeCell ref="A11:W11"/>
    <mergeCell ref="A47:W47"/>
    <mergeCell ref="A74:W74"/>
    <mergeCell ref="A75:W75"/>
    <mergeCell ref="A76:W76"/>
    <mergeCell ref="A77:W77"/>
    <mergeCell ref="A78:W78"/>
    <mergeCell ref="A79:W79"/>
    <mergeCell ref="A80:W80"/>
    <mergeCell ref="A81:W81"/>
  </mergeCells>
  <conditionalFormatting sqref="W49:W72">
    <cfRule type="expression" dxfId="0" priority="1">
      <formula>AND($F49="兵牌",ABS($W49)&lt;=0.35)</formula>
    </cfRule>
    <cfRule type="expression" dxfId="1" priority="2">
      <formula>AND($F49="兵牌",ABS($W49)&gt;0.35)</formula>
    </cfRule>
    <cfRule type="expression" dxfId="0" priority="3">
      <formula>AND($F49="策略牌",ABS($W49)&lt;=1)</formula>
    </cfRule>
    <cfRule type="expression" dxfId="2" priority="4">
      <formula>AND($F49="策略牌",ABS($W49)&gt;1)</formula>
    </cfRule>
  </conditionalFormatting>
  <dataValidations count="4">
    <dataValidation type="list" allowBlank="1" sqref="E49:E72">
      <formula1>"普通,稀有,史诗,传说"</formula1>
    </dataValidation>
    <dataValidation type="list" allowBlank="1" sqref="F49:F72">
      <formula1>"兵牌,策略牌"</formula1>
    </dataValidation>
    <dataValidation type="list" allowBlank="1" sqref="G49:G72">
      <formula1>"步兵,骑兵,弓兵,支援,—"</formula1>
    </dataValidation>
    <dataValidation type="list" allowBlank="1" sqref="H49:H72">
      <formula1>"轻,中,重,—"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F8F00"/>
  </sheetPr>
  <dimension ref="A1:E41"/>
  <sheetViews>
    <sheetView workbookViewId="0">
      <selection activeCell="A1" sqref="A1:E1"/>
    </sheetView>
  </sheetViews>
  <sheetFormatPr defaultColWidth="9" defaultRowHeight="14" outlineLevelCol="4"/>
  <cols>
    <col min="1" max="1" width="5" style="1" customWidth="1"/>
    <col min="2" max="2" width="18" style="1" customWidth="1"/>
    <col min="3" max="4" width="46" style="1" customWidth="1"/>
    <col min="5" max="5" width="62" style="1" customWidth="1"/>
  </cols>
  <sheetData>
    <row r="1" ht="26" customHeight="1" spans="1:5">
      <c r="A1" s="2" t="s">
        <v>470</v>
      </c>
    </row>
    <row r="2" spans="1:5">
      <c r="A2" s="3" t="s">
        <v>471</v>
      </c>
    </row>
    <row r="4" spans="1:5">
      <c r="A4" s="4" t="s">
        <v>472</v>
      </c>
      <c r="B4" s="5"/>
      <c r="C4" s="5"/>
      <c r="D4" s="5"/>
      <c r="E4" s="6"/>
    </row>
    <row r="5" spans="1:5">
      <c r="A5" s="7" t="s">
        <v>227</v>
      </c>
      <c r="B5" s="7" t="s">
        <v>473</v>
      </c>
      <c r="C5" s="7" t="s">
        <v>474</v>
      </c>
      <c r="D5" s="7" t="s">
        <v>475</v>
      </c>
      <c r="E5" s="7" t="s">
        <v>476</v>
      </c>
    </row>
    <row r="6" ht="58" customHeight="1" spans="1:5">
      <c r="A6" s="8">
        <v>1</v>
      </c>
      <c r="B6" s="8" t="s">
        <v>477</v>
      </c>
      <c r="C6" s="9" t="s">
        <v>478</v>
      </c>
      <c r="D6" s="9" t="s">
        <v>479</v>
      </c>
      <c r="E6" s="9" t="s">
        <v>480</v>
      </c>
    </row>
    <row r="7" ht="58" customHeight="1" spans="1:5">
      <c r="A7" s="8">
        <v>2</v>
      </c>
      <c r="B7" s="8" t="s">
        <v>481</v>
      </c>
      <c r="C7" s="9" t="s">
        <v>482</v>
      </c>
      <c r="D7" s="9" t="s">
        <v>483</v>
      </c>
      <c r="E7" s="9" t="s">
        <v>484</v>
      </c>
    </row>
    <row r="8" ht="58" customHeight="1" spans="1:5">
      <c r="A8" s="8">
        <v>3</v>
      </c>
      <c r="B8" s="8" t="s">
        <v>485</v>
      </c>
      <c r="C8" s="9" t="s">
        <v>486</v>
      </c>
      <c r="D8" s="9" t="s">
        <v>487</v>
      </c>
      <c r="E8" s="9" t="s">
        <v>488</v>
      </c>
    </row>
    <row r="9" ht="58" customHeight="1" spans="1:5">
      <c r="A9" s="8">
        <v>4</v>
      </c>
      <c r="B9" s="8" t="s">
        <v>489</v>
      </c>
      <c r="C9" s="9" t="s">
        <v>490</v>
      </c>
      <c r="D9" s="9" t="s">
        <v>491</v>
      </c>
      <c r="E9" s="9" t="s">
        <v>492</v>
      </c>
    </row>
    <row r="10" ht="58" customHeight="1" spans="1:5">
      <c r="A10" s="8">
        <v>5</v>
      </c>
      <c r="B10" s="8" t="s">
        <v>493</v>
      </c>
      <c r="C10" s="9" t="s">
        <v>494</v>
      </c>
      <c r="D10" s="9" t="s">
        <v>495</v>
      </c>
      <c r="E10" s="9" t="s">
        <v>496</v>
      </c>
    </row>
    <row r="11" ht="58" customHeight="1" spans="1:5">
      <c r="A11" s="8">
        <v>6</v>
      </c>
      <c r="B11" s="8" t="s">
        <v>194</v>
      </c>
      <c r="C11" s="9" t="s">
        <v>497</v>
      </c>
      <c r="D11" s="9" t="s">
        <v>498</v>
      </c>
      <c r="E11" s="9" t="s">
        <v>499</v>
      </c>
    </row>
    <row r="12" ht="58" customHeight="1" spans="1:5">
      <c r="A12" s="8">
        <v>7</v>
      </c>
      <c r="B12" s="8" t="s">
        <v>117</v>
      </c>
      <c r="C12" s="9" t="s">
        <v>500</v>
      </c>
      <c r="D12" s="9" t="s">
        <v>501</v>
      </c>
      <c r="E12" s="9" t="s">
        <v>502</v>
      </c>
    </row>
    <row r="13" ht="58" customHeight="1" spans="1:5">
      <c r="A13" s="8">
        <v>8</v>
      </c>
      <c r="B13" s="8" t="s">
        <v>118</v>
      </c>
      <c r="C13" s="9" t="s">
        <v>503</v>
      </c>
      <c r="D13" s="9" t="s">
        <v>504</v>
      </c>
      <c r="E13" s="9" t="s">
        <v>505</v>
      </c>
    </row>
    <row r="15" spans="1:5">
      <c r="A15" s="4" t="s">
        <v>506</v>
      </c>
      <c r="B15" s="5"/>
      <c r="C15" s="5"/>
      <c r="D15" s="5"/>
      <c r="E15" s="6"/>
    </row>
    <row r="16" spans="1:5">
      <c r="A16" s="7" t="s">
        <v>227</v>
      </c>
      <c r="B16" s="7" t="s">
        <v>473</v>
      </c>
      <c r="C16" s="7" t="s">
        <v>507</v>
      </c>
      <c r="D16" s="7" t="s">
        <v>508</v>
      </c>
      <c r="E16" s="7" t="s">
        <v>509</v>
      </c>
    </row>
    <row r="17" ht="30" customHeight="1" spans="1:5">
      <c r="A17" s="8">
        <v>1</v>
      </c>
      <c r="B17" s="10" t="s">
        <v>510</v>
      </c>
      <c r="C17" s="8" t="s">
        <v>511</v>
      </c>
      <c r="D17" s="8" t="s">
        <v>512</v>
      </c>
      <c r="E17" s="9" t="s">
        <v>513</v>
      </c>
    </row>
    <row r="18" ht="30" customHeight="1" spans="1:5">
      <c r="A18" s="8">
        <v>2</v>
      </c>
      <c r="B18" s="10" t="s">
        <v>186</v>
      </c>
      <c r="C18" s="8" t="s">
        <v>514</v>
      </c>
      <c r="D18" s="8" t="s">
        <v>515</v>
      </c>
      <c r="E18" s="9" t="s">
        <v>516</v>
      </c>
    </row>
    <row r="19" ht="30" customHeight="1" spans="1:5">
      <c r="A19" s="8">
        <v>3</v>
      </c>
      <c r="B19" s="10" t="s">
        <v>192</v>
      </c>
      <c r="C19" s="8" t="s">
        <v>517</v>
      </c>
      <c r="D19" s="8" t="s">
        <v>518</v>
      </c>
      <c r="E19" s="9" t="s">
        <v>519</v>
      </c>
    </row>
    <row r="20" ht="30" customHeight="1" spans="1:5">
      <c r="A20" s="8">
        <v>4</v>
      </c>
      <c r="B20" s="10" t="s">
        <v>194</v>
      </c>
      <c r="C20" s="8" t="s">
        <v>520</v>
      </c>
      <c r="D20" s="8" t="s">
        <v>521</v>
      </c>
      <c r="E20" s="9" t="s">
        <v>522</v>
      </c>
    </row>
    <row r="21" ht="30" customHeight="1" spans="1:5">
      <c r="A21" s="8">
        <v>5</v>
      </c>
      <c r="B21" s="10" t="s">
        <v>117</v>
      </c>
      <c r="C21" s="8" t="s">
        <v>523</v>
      </c>
      <c r="D21" s="8" t="s">
        <v>524</v>
      </c>
      <c r="E21" s="9" t="s">
        <v>525</v>
      </c>
    </row>
    <row r="22" ht="30" customHeight="1" spans="1:5">
      <c r="A22" s="8">
        <v>6</v>
      </c>
      <c r="B22" s="10" t="s">
        <v>123</v>
      </c>
      <c r="C22" s="8" t="s">
        <v>526</v>
      </c>
      <c r="D22" s="8" t="s">
        <v>527</v>
      </c>
      <c r="E22" s="9" t="s">
        <v>528</v>
      </c>
    </row>
    <row r="23" ht="30" customHeight="1" spans="1:5">
      <c r="A23" s="8">
        <v>7</v>
      </c>
      <c r="B23" s="10" t="s">
        <v>201</v>
      </c>
      <c r="C23" s="8" t="s">
        <v>529</v>
      </c>
      <c r="D23" s="8" t="s">
        <v>530</v>
      </c>
      <c r="E23" s="9" t="s">
        <v>531</v>
      </c>
    </row>
    <row r="24" ht="30" customHeight="1" spans="1:5">
      <c r="A24" s="8">
        <v>8</v>
      </c>
      <c r="B24" s="10" t="s">
        <v>203</v>
      </c>
      <c r="C24" s="8" t="s">
        <v>517</v>
      </c>
      <c r="D24" s="8" t="s">
        <v>532</v>
      </c>
      <c r="E24" s="9" t="s">
        <v>533</v>
      </c>
    </row>
    <row r="25" ht="30" customHeight="1" spans="1:5">
      <c r="A25" s="8">
        <v>9</v>
      </c>
      <c r="B25" s="10" t="s">
        <v>205</v>
      </c>
      <c r="C25" s="8" t="s">
        <v>517</v>
      </c>
      <c r="D25" s="8" t="s">
        <v>534</v>
      </c>
      <c r="E25" s="9" t="s">
        <v>533</v>
      </c>
    </row>
    <row r="26" ht="30" customHeight="1" spans="1:5">
      <c r="A26" s="8">
        <v>10</v>
      </c>
      <c r="B26" s="10" t="s">
        <v>182</v>
      </c>
      <c r="C26" s="8" t="s">
        <v>526</v>
      </c>
      <c r="D26" s="8" t="s">
        <v>535</v>
      </c>
      <c r="E26" s="9" t="s">
        <v>536</v>
      </c>
    </row>
    <row r="27" ht="30" customHeight="1" spans="1:5">
      <c r="A27" s="8">
        <v>11</v>
      </c>
      <c r="B27" s="10" t="s">
        <v>184</v>
      </c>
      <c r="C27" s="8" t="s">
        <v>514</v>
      </c>
      <c r="D27" s="8" t="s">
        <v>537</v>
      </c>
      <c r="E27" s="9" t="s">
        <v>538</v>
      </c>
    </row>
    <row r="28" ht="30" customHeight="1" spans="1:5">
      <c r="A28" s="8">
        <v>12</v>
      </c>
      <c r="B28" s="10" t="s">
        <v>213</v>
      </c>
      <c r="C28" s="8" t="s">
        <v>539</v>
      </c>
      <c r="D28" s="8" t="s">
        <v>540</v>
      </c>
      <c r="E28" s="9" t="s">
        <v>541</v>
      </c>
    </row>
    <row r="29" ht="30" customHeight="1" spans="1:5">
      <c r="A29" s="8">
        <v>13</v>
      </c>
      <c r="B29" s="10" t="s">
        <v>215</v>
      </c>
      <c r="C29" s="8" t="s">
        <v>529</v>
      </c>
      <c r="D29" s="8" t="s">
        <v>542</v>
      </c>
      <c r="E29" s="9" t="s">
        <v>543</v>
      </c>
    </row>
    <row r="31" spans="1:5">
      <c r="A31" s="4" t="s">
        <v>544</v>
      </c>
      <c r="B31" s="5"/>
      <c r="C31" s="5"/>
      <c r="D31" s="5"/>
      <c r="E31" s="6"/>
    </row>
    <row r="32" customHeight="1" spans="1:5">
      <c r="A32" s="3" t="s">
        <v>545</v>
      </c>
    </row>
    <row r="33" customHeight="1" spans="1:1">
      <c r="A33" s="3" t="s">
        <v>546</v>
      </c>
    </row>
    <row r="34" customHeight="1" spans="1:1">
      <c r="A34" s="3" t="s">
        <v>547</v>
      </c>
    </row>
    <row r="35" customHeight="1" spans="1:1">
      <c r="A35" s="3" t="s">
        <v>548</v>
      </c>
    </row>
    <row r="36" customHeight="1" spans="1:1">
      <c r="A36" s="3" t="s">
        <v>549</v>
      </c>
    </row>
    <row r="37" customHeight="1" spans="1:1">
      <c r="A37" s="3" t="s">
        <v>550</v>
      </c>
    </row>
    <row r="38" customHeight="1" spans="1:1">
      <c r="A38" s="3" t="s">
        <v>551</v>
      </c>
    </row>
    <row r="39" customHeight="1" spans="1:1">
      <c r="A39" s="3" t="s">
        <v>552</v>
      </c>
    </row>
    <row r="40" customHeight="1" spans="1:1">
      <c r="A40" s="3" t="s">
        <v>553</v>
      </c>
    </row>
    <row r="41" customHeight="1" spans="1:1">
      <c r="A41" s="3" t="s">
        <v>554</v>
      </c>
    </row>
  </sheetData>
  <mergeCells count="15">
    <mergeCell ref="A1:E1"/>
    <mergeCell ref="A2:E2"/>
    <mergeCell ref="A4:E4"/>
    <mergeCell ref="A15:E15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卡池总览</vt:lpstr>
      <vt:lpstr>基础公式</vt:lpstr>
      <vt:lpstr>部署价值表</vt:lpstr>
      <vt:lpstr>秦·卡池</vt:lpstr>
      <vt:lpstr>汉·卡池</vt:lpstr>
      <vt:lpstr>基准表外条目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qzuser</cp:lastModifiedBy>
  <dcterms:created xsi:type="dcterms:W3CDTF">2023-05-12T11:15:00Z</dcterms:created>
  <dcterms:modified xsi:type="dcterms:W3CDTF">2026-09-19T14:50:26Z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82609E99C2504B5B89E43E5421346315_12</vt:lpwstr>
  </property>
  <property fmtid="{D5CDD505-2E9C-101B-9397-08002B2CF9AE}" pid="4" name="CalculationRule">
    <vt:i4>0</vt:i4>
  </property>
</Properties>
</file>